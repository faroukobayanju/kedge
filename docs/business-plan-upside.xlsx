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Kedge P&amp;L, Burn &amp; Runway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;(&quot;$&quot;#,##0)"/>
    <numFmt numFmtId="165" formatCode="0.0%"/>
    <numFmt numFmtId="166" formatCode="#,##0.0;(#,##0.0)"/>
    <numFmt numFmtId="167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i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0" fontId="3" fillId="0" borderId="0" xfId="0" applyFont="1" applyAlignment="1">
      <alignment vertical="center" horizontal="left"/>
    </xf>
    <xf numFmtId="164" fontId="3" fillId="0" borderId="0" xfId="0" applyNumberFormat="1" applyFont="1" applyAlignment="1">
      <alignment vertical="center" horizontal="right"/>
    </xf>
    <xf numFmtId="0" fontId="4" fillId="0" borderId="0" xfId="0" applyFont="1" applyAlignment="1">
      <alignment vertical="center" horizontal="left"/>
    </xf>
    <xf numFmtId="165" fontId="4" fillId="0" borderId="0" xfId="0" applyNumberFormat="1" applyFon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Kedge P&amp;L, Burn &amp; Runway</t>
        </is>
      </c>
    </row>
    <row r="2" ht="20" customHeight="1">
      <c r="A2" t="inlineStr" s="2">
        <is>
          <t xml:space="preserve">Operating Model · Upside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Revenue</t>
        </is>
      </c>
      <c r="B5" s="7">
        <f>'Model inputs'!C14*'Model inputs'!AA23</f>
        <v>900</v>
      </c>
      <c r="C5" s="7">
        <f>'Model inputs'!D14*'Model inputs'!AA23</f>
        <v>2964.705882352941</v>
      </c>
      <c r="D5" s="7">
        <f>'Model inputs'!E14*'Model inputs'!AA23</f>
        <v>5029.411764705882</v>
      </c>
      <c r="E5" s="7">
        <f>'Model inputs'!F14*'Model inputs'!AA23</f>
        <v>7094.117647058824</v>
      </c>
      <c r="F5" s="7">
        <f>'Model inputs'!G14*'Model inputs'!AA23</f>
        <v>9158.823529411764</v>
      </c>
      <c r="G5" s="7">
        <f>'Model inputs'!H14*'Model inputs'!AA23</f>
        <v>11223.529411764704</v>
      </c>
      <c r="H5" s="7">
        <f>'Model inputs'!I14*'Model inputs'!AA23</f>
        <v>13288.235294117649</v>
      </c>
      <c r="I5" s="7">
        <f>'Model inputs'!J14*'Model inputs'!AA23</f>
        <v>15352.941176470587</v>
      </c>
      <c r="J5" s="7">
        <f>'Model inputs'!K14*'Model inputs'!AA23</f>
        <v>17417.647058823528</v>
      </c>
      <c r="K5" s="7">
        <f>'Model inputs'!L14*'Model inputs'!AA23</f>
        <v>19482.35294117647</v>
      </c>
      <c r="L5" s="7">
        <f>'Model inputs'!M14*'Model inputs'!AA23</f>
        <v>21547.05882352941</v>
      </c>
      <c r="M5" s="7">
        <f>'Model inputs'!N14*'Model inputs'!AA23</f>
        <v>23611.76470588235</v>
      </c>
      <c r="N5" s="7">
        <f>'Model inputs'!O14*'Model inputs'!AA23</f>
        <v>25676.470588235297</v>
      </c>
      <c r="O5" s="7">
        <f>'Model inputs'!P14*'Model inputs'!AA23</f>
        <v>27741.176470588238</v>
      </c>
      <c r="P5" s="7">
        <f>'Model inputs'!Q14*'Model inputs'!AA23</f>
        <v>29805.882352941175</v>
      </c>
      <c r="Q5" s="7">
        <f>'Model inputs'!R14*'Model inputs'!AA23</f>
        <v>31870.58823529412</v>
      </c>
      <c r="R5" s="7">
        <f>'Model inputs'!S14*'Model inputs'!AA23</f>
        <v>33935.294117647056</v>
      </c>
      <c r="S5" s="7">
        <f>'Model inputs'!T14*'Model inputs'!AA23</f>
        <v>36000</v>
      </c>
      <c r="T5" s="7">
        <f>'Model inputs'!U14*'Model inputs'!AA23</f>
        <v>36000</v>
      </c>
      <c r="U5" s="7">
        <f>'Model inputs'!V14*'Model inputs'!AA23</f>
        <v>36000</v>
      </c>
      <c r="V5" s="7">
        <f>'Model inputs'!W14*'Model inputs'!AA23</f>
        <v>36000</v>
      </c>
      <c r="W5" s="7">
        <f>'Model inputs'!X14*'Model inputs'!AA23</f>
        <v>36000</v>
      </c>
      <c r="X5" s="7">
        <f>'Model inputs'!Y14*'Model inputs'!AA23</f>
        <v>36000</v>
      </c>
      <c r="Y5" s="7">
        <f>'Model inputs'!Z14*'Model inputs'!AA23</f>
        <v>36000</v>
      </c>
    </row>
    <row r="6">
      <c r="A6" t="inlineStr" s="8">
        <is>
          <t xml:space="preserve">AI model costs</t>
        </is>
      </c>
      <c r="B6" s="9">
        <f>'Model inputs'!C14*'Model inputs'!AA16</f>
        <v>40.5</v>
      </c>
      <c r="C6" s="9">
        <f>'Model inputs'!D14*'Model inputs'!AA16</f>
        <v>133.41176470588235</v>
      </c>
      <c r="D6" s="9">
        <f>'Model inputs'!E14*'Model inputs'!AA16</f>
        <v>226.3235294117647</v>
      </c>
      <c r="E6" s="9">
        <f>'Model inputs'!F14*'Model inputs'!AA16</f>
        <v>319.23529411764713</v>
      </c>
      <c r="F6" s="9">
        <f>'Model inputs'!G14*'Model inputs'!AA16</f>
        <v>412.1470588235294</v>
      </c>
      <c r="G6" s="9">
        <f>'Model inputs'!H14*'Model inputs'!AA16</f>
        <v>505.0588235294117</v>
      </c>
      <c r="H6" s="9">
        <f>'Model inputs'!I14*'Model inputs'!AA16</f>
        <v>597.9705882352943</v>
      </c>
      <c r="I6" s="9">
        <f>'Model inputs'!J14*'Model inputs'!AA16</f>
        <v>690.8823529411765</v>
      </c>
      <c r="J6" s="9">
        <f>'Model inputs'!K14*'Model inputs'!AA16</f>
        <v>783.7941176470588</v>
      </c>
      <c r="K6" s="9">
        <f>'Model inputs'!L14*'Model inputs'!AA16</f>
        <v>876.7058823529411</v>
      </c>
      <c r="L6" s="9">
        <f>'Model inputs'!M14*'Model inputs'!AA16</f>
        <v>969.6176470588234</v>
      </c>
      <c r="M6" s="9">
        <f>'Model inputs'!N14*'Model inputs'!AA16</f>
        <v>1062.5294117647059</v>
      </c>
      <c r="N6" s="9">
        <f>'Model inputs'!O14*'Model inputs'!AA16</f>
        <v>1155.4411764705885</v>
      </c>
      <c r="O6" s="9">
        <f>'Model inputs'!P14*'Model inputs'!AA16</f>
        <v>1248.3529411764707</v>
      </c>
      <c r="P6" s="9">
        <f>'Model inputs'!Q14*'Model inputs'!AA16</f>
        <v>1341.264705882353</v>
      </c>
      <c r="Q6" s="9">
        <f>'Model inputs'!R14*'Model inputs'!AA16</f>
        <v>1434.1764705882354</v>
      </c>
      <c r="R6" s="9">
        <f>'Model inputs'!S14*'Model inputs'!AA16</f>
        <v>1527.0882352941176</v>
      </c>
      <c r="S6" s="9">
        <f>'Model inputs'!T14*'Model inputs'!AA16</f>
        <v>1620</v>
      </c>
      <c r="T6" s="9">
        <f>'Model inputs'!U14*'Model inputs'!AA16</f>
        <v>1620</v>
      </c>
      <c r="U6" s="9">
        <f>'Model inputs'!V14*'Model inputs'!AA16</f>
        <v>1620</v>
      </c>
      <c r="V6" s="9">
        <f>'Model inputs'!W14*'Model inputs'!AA16</f>
        <v>1620</v>
      </c>
      <c r="W6" s="9">
        <f>'Model inputs'!X14*'Model inputs'!AA16</f>
        <v>1620</v>
      </c>
      <c r="X6" s="9">
        <f>'Model inputs'!Y14*'Model inputs'!AA16</f>
        <v>1620</v>
      </c>
      <c r="Y6" s="9">
        <f>'Model inputs'!Z14*'Model inputs'!AA16</f>
        <v>1620</v>
      </c>
    </row>
    <row r="7">
      <c r="A7" t="inlineStr" s="8">
        <is>
          <t xml:space="preserve">Payment processing</t>
        </is>
      </c>
      <c r="B7" s="9">
        <f>'Kedge P&amp;L, Burn &amp; Runway'!B5*'Model inputs'!AA22</f>
        <v>27</v>
      </c>
      <c r="C7" s="9">
        <f>'Kedge P&amp;L, Burn &amp; Runway'!C5*'Model inputs'!AA22</f>
        <v>88.94117647058823</v>
      </c>
      <c r="D7" s="9">
        <f>'Kedge P&amp;L, Burn &amp; Runway'!D5*'Model inputs'!AA22</f>
        <v>150.88235294117646</v>
      </c>
      <c r="E7" s="9">
        <f>'Kedge P&amp;L, Burn &amp; Runway'!E5*'Model inputs'!AA22</f>
        <v>212.82352941176472</v>
      </c>
      <c r="F7" s="9">
        <f>'Kedge P&amp;L, Burn &amp; Runway'!F5*'Model inputs'!AA22</f>
        <v>274.7647058823529</v>
      </c>
      <c r="G7" s="9">
        <f>'Kedge P&amp;L, Burn &amp; Runway'!G5*'Model inputs'!AA22</f>
        <v>336.7058823529411</v>
      </c>
      <c r="H7" s="9">
        <f>'Kedge P&amp;L, Burn &amp; Runway'!H5*'Model inputs'!AA22</f>
        <v>398.64705882352945</v>
      </c>
      <c r="I7" s="9">
        <f>'Kedge P&amp;L, Burn &amp; Runway'!I5*'Model inputs'!AA22</f>
        <v>460.5882352941176</v>
      </c>
      <c r="J7" s="9">
        <f>'Kedge P&amp;L, Burn &amp; Runway'!J5*'Model inputs'!AA22</f>
        <v>522.5294117647059</v>
      </c>
      <c r="K7" s="9">
        <f>'Kedge P&amp;L, Burn &amp; Runway'!K5*'Model inputs'!AA22</f>
        <v>584.470588235294</v>
      </c>
      <c r="L7" s="9">
        <f>'Kedge P&amp;L, Burn &amp; Runway'!L5*'Model inputs'!AA22</f>
        <v>646.4117647058822</v>
      </c>
      <c r="M7" s="9">
        <f>'Kedge P&amp;L, Burn &amp; Runway'!M5*'Model inputs'!AA22</f>
        <v>708.3529411764705</v>
      </c>
      <c r="N7" s="9">
        <f>'Kedge P&amp;L, Burn &amp; Runway'!N5*'Model inputs'!AA22</f>
        <v>770.2941176470589</v>
      </c>
      <c r="O7" s="9">
        <f>'Kedge P&amp;L, Burn &amp; Runway'!O5*'Model inputs'!AA22</f>
        <v>832.2352941176471</v>
      </c>
      <c r="P7" s="9">
        <f>'Kedge P&amp;L, Burn &amp; Runway'!P5*'Model inputs'!AA22</f>
        <v>894.1764705882352</v>
      </c>
      <c r="Q7" s="9">
        <f>'Kedge P&amp;L, Burn &amp; Runway'!Q5*'Model inputs'!AA22</f>
        <v>956.1176470588235</v>
      </c>
      <c r="R7" s="9">
        <f>'Kedge P&amp;L, Burn &amp; Runway'!R5*'Model inputs'!AA22</f>
        <v>1018.0588235294116</v>
      </c>
      <c r="S7" s="9">
        <f>'Kedge P&amp;L, Burn &amp; Runway'!S5*'Model inputs'!AA22</f>
        <v>1080</v>
      </c>
      <c r="T7" s="9">
        <f>'Kedge P&amp;L, Burn &amp; Runway'!T5*'Model inputs'!AA22</f>
        <v>1080</v>
      </c>
      <c r="U7" s="9">
        <f>'Kedge P&amp;L, Burn &amp; Runway'!U5*'Model inputs'!AA22</f>
        <v>1080</v>
      </c>
      <c r="V7" s="9">
        <f>'Kedge P&amp;L, Burn &amp; Runway'!V5*'Model inputs'!AA22</f>
        <v>1080</v>
      </c>
      <c r="W7" s="9">
        <f>'Kedge P&amp;L, Burn &amp; Runway'!W5*'Model inputs'!AA22</f>
        <v>1080</v>
      </c>
      <c r="X7" s="9">
        <f>'Kedge P&amp;L, Burn &amp; Runway'!X5*'Model inputs'!AA22</f>
        <v>1080</v>
      </c>
      <c r="Y7" s="9">
        <f>'Kedge P&amp;L, Burn &amp; Runway'!Y5*'Model inputs'!AA22</f>
        <v>1080</v>
      </c>
    </row>
    <row r="8">
      <c r="A8" t="inlineStr" s="10">
        <is>
          <t xml:space="preserve">Cost of goods sold</t>
        </is>
      </c>
      <c r="B8" s="9">
        <f>'Kedge P&amp;L, Burn &amp; Runway'!B6+'Kedge P&amp;L, Burn &amp; Runway'!B7</f>
        <v>67.5</v>
      </c>
      <c r="C8" s="9">
        <f>'Kedge P&amp;L, Burn &amp; Runway'!C6+'Kedge P&amp;L, Burn &amp; Runway'!C7</f>
        <v>222.35294117647058</v>
      </c>
      <c r="D8" s="9">
        <f>'Kedge P&amp;L, Burn &amp; Runway'!D6+'Kedge P&amp;L, Burn &amp; Runway'!D7</f>
        <v>377.20588235294116</v>
      </c>
      <c r="E8" s="9">
        <f>'Kedge P&amp;L, Burn &amp; Runway'!E6+'Kedge P&amp;L, Burn &amp; Runway'!E7</f>
        <v>532.0588235294118</v>
      </c>
      <c r="F8" s="9">
        <f>'Kedge P&amp;L, Burn &amp; Runway'!F6+'Kedge P&amp;L, Burn &amp; Runway'!F7</f>
        <v>686.9117647058823</v>
      </c>
      <c r="G8" s="9">
        <f>'Kedge P&amp;L, Burn &amp; Runway'!G6+'Kedge P&amp;L, Burn &amp; Runway'!G7</f>
        <v>841.7647058823528</v>
      </c>
      <c r="H8" s="9">
        <f>'Kedge P&amp;L, Burn &amp; Runway'!H6+'Kedge P&amp;L, Burn &amp; Runway'!H7</f>
        <v>996.6176470588236</v>
      </c>
      <c r="I8" s="9">
        <f>'Kedge P&amp;L, Burn &amp; Runway'!I6+'Kedge P&amp;L, Burn &amp; Runway'!I7</f>
        <v>1151.4705882352941</v>
      </c>
      <c r="J8" s="9">
        <f>'Kedge P&amp;L, Burn &amp; Runway'!J6+'Kedge P&amp;L, Burn &amp; Runway'!J7</f>
        <v>1306.3235294117646</v>
      </c>
      <c r="K8" s="9">
        <f>'Kedge P&amp;L, Burn &amp; Runway'!K6+'Kedge P&amp;L, Burn &amp; Runway'!K7</f>
        <v>1461.1764705882351</v>
      </c>
      <c r="L8" s="9">
        <f>'Kedge P&amp;L, Burn &amp; Runway'!L6+'Kedge P&amp;L, Burn &amp; Runway'!L7</f>
        <v>1616.0294117647056</v>
      </c>
      <c r="M8" s="9">
        <f>'Kedge P&amp;L, Burn &amp; Runway'!M6+'Kedge P&amp;L, Burn &amp; Runway'!M7</f>
        <v>1770.8823529411764</v>
      </c>
      <c r="N8" s="9">
        <f>'Kedge P&amp;L, Burn &amp; Runway'!N6+'Kedge P&amp;L, Burn &amp; Runway'!N7</f>
        <v>1925.7352941176473</v>
      </c>
      <c r="O8" s="9">
        <f>'Kedge P&amp;L, Burn &amp; Runway'!O6+'Kedge P&amp;L, Burn &amp; Runway'!O7</f>
        <v>2080.588235294118</v>
      </c>
      <c r="P8" s="9">
        <f>'Kedge P&amp;L, Burn &amp; Runway'!P6+'Kedge P&amp;L, Burn &amp; Runway'!P7</f>
        <v>2235.4411764705883</v>
      </c>
      <c r="Q8" s="9">
        <f>'Kedge P&amp;L, Burn &amp; Runway'!Q6+'Kedge P&amp;L, Burn &amp; Runway'!Q7</f>
        <v>2390.294117647059</v>
      </c>
      <c r="R8" s="9">
        <f>'Kedge P&amp;L, Burn &amp; Runway'!R6+'Kedge P&amp;L, Burn &amp; Runway'!R7</f>
        <v>2545.1470588235293</v>
      </c>
      <c r="S8" s="9">
        <f>'Kedge P&amp;L, Burn &amp; Runway'!S6+'Kedge P&amp;L, Burn &amp; Runway'!S7</f>
        <v>2700</v>
      </c>
      <c r="T8" s="9">
        <f>'Kedge P&amp;L, Burn &amp; Runway'!T6+'Kedge P&amp;L, Burn &amp; Runway'!T7</f>
        <v>2700</v>
      </c>
      <c r="U8" s="9">
        <f>'Kedge P&amp;L, Burn &amp; Runway'!U6+'Kedge P&amp;L, Burn &amp; Runway'!U7</f>
        <v>2700</v>
      </c>
      <c r="V8" s="9">
        <f>'Kedge P&amp;L, Burn &amp; Runway'!V6+'Kedge P&amp;L, Burn &amp; Runway'!V7</f>
        <v>2700</v>
      </c>
      <c r="W8" s="9">
        <f>'Kedge P&amp;L, Burn &amp; Runway'!W6+'Kedge P&amp;L, Burn &amp; Runway'!W7</f>
        <v>2700</v>
      </c>
      <c r="X8" s="9">
        <f>'Kedge P&amp;L, Burn &amp; Runway'!X6+'Kedge P&amp;L, Burn &amp; Runway'!X7</f>
        <v>2700</v>
      </c>
      <c r="Y8" s="9">
        <f>'Kedge P&amp;L, Burn &amp; Runway'!Y6+'Kedge P&amp;L, Burn &amp; Runway'!Y7</f>
        <v>2700</v>
      </c>
    </row>
    <row r="9">
      <c r="A9" t="inlineStr" s="11">
        <is>
          <t xml:space="preserve">Gross profit</t>
        </is>
      </c>
      <c r="B9" s="12">
        <f>'Kedge P&amp;L, Burn &amp; Runway'!B5-'Kedge P&amp;L, Burn &amp; Runway'!B8</f>
        <v>832.5</v>
      </c>
      <c r="C9" s="12">
        <f>'Kedge P&amp;L, Burn &amp; Runway'!C5-'Kedge P&amp;L, Burn &amp; Runway'!C8</f>
        <v>2742.3529411764703</v>
      </c>
      <c r="D9" s="12">
        <f>'Kedge P&amp;L, Burn &amp; Runway'!D5-'Kedge P&amp;L, Burn &amp; Runway'!D8</f>
        <v>4652.2058823529405</v>
      </c>
      <c r="E9" s="12">
        <f>'Kedge P&amp;L, Burn &amp; Runway'!E5-'Kedge P&amp;L, Burn &amp; Runway'!E8</f>
        <v>6562.058823529413</v>
      </c>
      <c r="F9" s="12">
        <f>'Kedge P&amp;L, Burn &amp; Runway'!F5-'Kedge P&amp;L, Burn &amp; Runway'!F8</f>
        <v>8471.911764705881</v>
      </c>
      <c r="G9" s="12">
        <f>'Kedge P&amp;L, Burn &amp; Runway'!G5-'Kedge P&amp;L, Burn &amp; Runway'!G8</f>
        <v>10381.764705882351</v>
      </c>
      <c r="H9" s="12">
        <f>'Kedge P&amp;L, Burn &amp; Runway'!H5-'Kedge P&amp;L, Burn &amp; Runway'!H8</f>
        <v>12291.617647058825</v>
      </c>
      <c r="I9" s="12">
        <f>'Kedge P&amp;L, Burn &amp; Runway'!I5-'Kedge P&amp;L, Burn &amp; Runway'!I8</f>
        <v>14201.470588235294</v>
      </c>
      <c r="J9" s="12">
        <f>'Kedge P&amp;L, Burn &amp; Runway'!J5-'Kedge P&amp;L, Burn &amp; Runway'!J8</f>
        <v>16111.323529411764</v>
      </c>
      <c r="K9" s="12">
        <f>'Kedge P&amp;L, Burn &amp; Runway'!K5-'Kedge P&amp;L, Burn &amp; Runway'!K8</f>
        <v>18021.176470588234</v>
      </c>
      <c r="L9" s="12">
        <f>'Kedge P&amp;L, Burn &amp; Runway'!L5-'Kedge P&amp;L, Burn &amp; Runway'!L8</f>
        <v>19931.029411764703</v>
      </c>
      <c r="M9" s="12">
        <f>'Kedge P&amp;L, Burn &amp; Runway'!M5-'Kedge P&amp;L, Burn &amp; Runway'!M8</f>
        <v>21840.882352941175</v>
      </c>
      <c r="N9" s="12">
        <f>'Kedge P&amp;L, Burn &amp; Runway'!N5-'Kedge P&amp;L, Burn &amp; Runway'!N8</f>
        <v>23750.73529411765</v>
      </c>
      <c r="O9" s="12">
        <f>'Kedge P&amp;L, Burn &amp; Runway'!O5-'Kedge P&amp;L, Burn &amp; Runway'!O8</f>
        <v>25660.58823529412</v>
      </c>
      <c r="P9" s="12">
        <f>'Kedge P&amp;L, Burn &amp; Runway'!P5-'Kedge P&amp;L, Burn &amp; Runway'!P8</f>
        <v>27570.441176470587</v>
      </c>
      <c r="Q9" s="12">
        <f>'Kedge P&amp;L, Burn &amp; Runway'!Q5-'Kedge P&amp;L, Burn &amp; Runway'!Q8</f>
        <v>29480.29411764706</v>
      </c>
      <c r="R9" s="12">
        <f>'Kedge P&amp;L, Burn &amp; Runway'!R5-'Kedge P&amp;L, Burn &amp; Runway'!R8</f>
        <v>31390.147058823528</v>
      </c>
      <c r="S9" s="12">
        <f>'Kedge P&amp;L, Burn &amp; Runway'!S5-'Kedge P&amp;L, Burn &amp; Runway'!S8</f>
        <v>33300</v>
      </c>
      <c r="T9" s="12">
        <f>'Kedge P&amp;L, Burn &amp; Runway'!T5-'Kedge P&amp;L, Burn &amp; Runway'!T8</f>
        <v>33300</v>
      </c>
      <c r="U9" s="12">
        <f>'Kedge P&amp;L, Burn &amp; Runway'!U5-'Kedge P&amp;L, Burn &amp; Runway'!U8</f>
        <v>33300</v>
      </c>
      <c r="V9" s="12">
        <f>'Kedge P&amp;L, Burn &amp; Runway'!V5-'Kedge P&amp;L, Burn &amp; Runway'!V8</f>
        <v>33300</v>
      </c>
      <c r="W9" s="12">
        <f>'Kedge P&amp;L, Burn &amp; Runway'!W5-'Kedge P&amp;L, Burn &amp; Runway'!W8</f>
        <v>33300</v>
      </c>
      <c r="X9" s="12">
        <f>'Kedge P&amp;L, Burn &amp; Runway'!X5-'Kedge P&amp;L, Burn &amp; Runway'!X8</f>
        <v>33300</v>
      </c>
      <c r="Y9" s="12">
        <f>'Kedge P&amp;L, Burn &amp; Runway'!Y5-'Kedge P&amp;L, Burn &amp; Runway'!Y8</f>
        <v>33300</v>
      </c>
    </row>
    <row r="10">
      <c r="A10" t="inlineStr" s="13">
        <is>
          <t xml:space="preserve">Gross margin</t>
        </is>
      </c>
      <c r="B10" s="14">
        <f>IFERROR('Kedge P&amp;L, Burn &amp; Runway'!B9/'Kedge P&amp;L, Burn &amp; Runway'!B5,"")</f>
        <v>0.925</v>
      </c>
      <c r="C10" s="14">
        <f>IFERROR('Kedge P&amp;L, Burn &amp; Runway'!C9/'Kedge P&amp;L, Burn &amp; Runway'!C5,"")</f>
        <v>0.9249999999999999</v>
      </c>
      <c r="D10" s="14">
        <f>IFERROR('Kedge P&amp;L, Burn &amp; Runway'!D9/'Kedge P&amp;L, Burn &amp; Runway'!D5,"")</f>
        <v>0.9249999999999999</v>
      </c>
      <c r="E10" s="14">
        <f>IFERROR('Kedge P&amp;L, Burn &amp; Runway'!E9/'Kedge P&amp;L, Burn &amp; Runway'!E5,"")</f>
        <v>0.925</v>
      </c>
      <c r="F10" s="14">
        <f>IFERROR('Kedge P&amp;L, Burn &amp; Runway'!F9/'Kedge P&amp;L, Burn &amp; Runway'!F5,"")</f>
        <v>0.9249999999999999</v>
      </c>
      <c r="G10" s="14">
        <f>IFERROR('Kedge P&amp;L, Burn &amp; Runway'!G9/'Kedge P&amp;L, Burn &amp; Runway'!G5,"")</f>
        <v>0.9249999999999999</v>
      </c>
      <c r="H10" s="14">
        <f>IFERROR('Kedge P&amp;L, Burn &amp; Runway'!H9/'Kedge P&amp;L, Burn &amp; Runway'!H5,"")</f>
        <v>0.925</v>
      </c>
      <c r="I10" s="14">
        <f>IFERROR('Kedge P&amp;L, Burn &amp; Runway'!I9/'Kedge P&amp;L, Burn &amp; Runway'!I5,"")</f>
        <v>0.925</v>
      </c>
      <c r="J10" s="14">
        <f>IFERROR('Kedge P&amp;L, Burn &amp; Runway'!J9/'Kedge P&amp;L, Burn &amp; Runway'!J5,"")</f>
        <v>0.925</v>
      </c>
      <c r="K10" s="14">
        <f>IFERROR('Kedge P&amp;L, Burn &amp; Runway'!K9/'Kedge P&amp;L, Burn &amp; Runway'!K5,"")</f>
        <v>0.925</v>
      </c>
      <c r="L10" s="14">
        <f>IFERROR('Kedge P&amp;L, Burn &amp; Runway'!L9/'Kedge P&amp;L, Burn &amp; Runway'!L5,"")</f>
        <v>0.9249999999999999</v>
      </c>
      <c r="M10" s="14">
        <f>IFERROR('Kedge P&amp;L, Burn &amp; Runway'!M9/'Kedge P&amp;L, Burn &amp; Runway'!M5,"")</f>
        <v>0.925</v>
      </c>
      <c r="N10" s="14">
        <f>IFERROR('Kedge P&amp;L, Burn &amp; Runway'!N9/'Kedge P&amp;L, Burn &amp; Runway'!N5,"")</f>
        <v>0.925</v>
      </c>
      <c r="O10" s="14">
        <f>IFERROR('Kedge P&amp;L, Burn &amp; Runway'!O9/'Kedge P&amp;L, Burn &amp; Runway'!O5,"")</f>
        <v>0.9249999999999999</v>
      </c>
      <c r="P10" s="14">
        <f>IFERROR('Kedge P&amp;L, Burn &amp; Runway'!P9/'Kedge P&amp;L, Burn &amp; Runway'!P5,"")</f>
        <v>0.925</v>
      </c>
      <c r="Q10" s="14">
        <f>IFERROR('Kedge P&amp;L, Burn &amp; Runway'!Q9/'Kedge P&amp;L, Burn &amp; Runway'!Q5,"")</f>
        <v>0.9249999999999999</v>
      </c>
      <c r="R10" s="14">
        <f>IFERROR('Kedge P&amp;L, Burn &amp; Runway'!R9/'Kedge P&amp;L, Burn &amp; Runway'!R5,"")</f>
        <v>0.925</v>
      </c>
      <c r="S10" s="14">
        <f>IFERROR('Kedge P&amp;L, Burn &amp; Runway'!S9/'Kedge P&amp;L, Burn &amp; Runway'!S5,"")</f>
        <v>0.925</v>
      </c>
      <c r="T10" s="14">
        <f>IFERROR('Kedge P&amp;L, Burn &amp; Runway'!T9/'Kedge P&amp;L, Burn &amp; Runway'!T5,"")</f>
        <v>0.925</v>
      </c>
      <c r="U10" s="14">
        <f>IFERROR('Kedge P&amp;L, Burn &amp; Runway'!U9/'Kedge P&amp;L, Burn &amp; Runway'!U5,"")</f>
        <v>0.925</v>
      </c>
      <c r="V10" s="14">
        <f>IFERROR('Kedge P&amp;L, Burn &amp; Runway'!V9/'Kedge P&amp;L, Burn &amp; Runway'!V5,"")</f>
        <v>0.925</v>
      </c>
      <c r="W10" s="14">
        <f>IFERROR('Kedge P&amp;L, Burn &amp; Runway'!W9/'Kedge P&amp;L, Burn &amp; Runway'!W5,"")</f>
        <v>0.925</v>
      </c>
      <c r="X10" s="14">
        <f>IFERROR('Kedge P&amp;L, Burn &amp; Runway'!X9/'Kedge P&amp;L, Burn &amp; Runway'!X5,"")</f>
        <v>0.925</v>
      </c>
      <c r="Y10" s="14">
        <f>IFERROR('Kedge P&amp;L, Burn &amp; Runway'!Y9/'Kedge P&amp;L, Burn &amp; Runway'!Y5,"")</f>
        <v>0.925</v>
      </c>
    </row>
    <row r="11">
      <c r="A11" t="inlineStr" s="8">
        <is>
          <t xml:space="preserve">Founder salaries</t>
        </is>
      </c>
      <c r="B11" s="9">
        <f>IF(IF(IF(ISERROR('Model inputs'!C17&gt;'Model inputs'!AA27),'Model inputs'!C17&gt;'Model inputs'!AA27,IF(OR('Model inputs'!C17="",'Model inputs'!AA27=""),"",'Model inputs'!C17&gt;'Model inputs'!AA27))="",FALSE,IF(ISERROR('Model inputs'!C17&gt;'Model inputs'!AA27),'Model inputs'!C17&gt;'Model inputs'!AA27,IF(OR('Model inputs'!C17="",'Model inputs'!AA27=""),"",'Model inputs'!C17&gt;'Model inputs'!AA27))),'Model inputs'!AA12*'Model inputs'!AA10,0)</f>
        <v>0</v>
      </c>
      <c r="C11" s="9">
        <f>IF(IF(IF(ISERROR('Model inputs'!D17&gt;'Model inputs'!AA27),'Model inputs'!D17&gt;'Model inputs'!AA27,IF(OR('Model inputs'!D17="",'Model inputs'!AA27=""),"",'Model inputs'!D17&gt;'Model inputs'!AA27))="",FALSE,IF(ISERROR('Model inputs'!D17&gt;'Model inputs'!AA27),'Model inputs'!D17&gt;'Model inputs'!AA27,IF(OR('Model inputs'!D17="",'Model inputs'!AA27=""),"",'Model inputs'!D17&gt;'Model inputs'!AA27))),'Model inputs'!AA12*'Model inputs'!AA10,0)</f>
        <v>0</v>
      </c>
      <c r="D11" s="9">
        <f>IF(IF(IF(ISERROR('Model inputs'!E17&gt;'Model inputs'!AA27),'Model inputs'!E17&gt;'Model inputs'!AA27,IF(OR('Model inputs'!E17="",'Model inputs'!AA27=""),"",'Model inputs'!E17&gt;'Model inputs'!AA27))="",FALSE,IF(ISERROR('Model inputs'!E17&gt;'Model inputs'!AA27),'Model inputs'!E17&gt;'Model inputs'!AA27,IF(OR('Model inputs'!E17="",'Model inputs'!AA27=""),"",'Model inputs'!E17&gt;'Model inputs'!AA27))),'Model inputs'!AA12*'Model inputs'!AA10,0)</f>
        <v>0</v>
      </c>
      <c r="E11" s="9">
        <f>IF(IF(IF(ISERROR('Model inputs'!F17&gt;'Model inputs'!AA27),'Model inputs'!F17&gt;'Model inputs'!AA27,IF(OR('Model inputs'!F17="",'Model inputs'!AA27=""),"",'Model inputs'!F17&gt;'Model inputs'!AA27))="",FALSE,IF(ISERROR('Model inputs'!F17&gt;'Model inputs'!AA27),'Model inputs'!F17&gt;'Model inputs'!AA27,IF(OR('Model inputs'!F17="",'Model inputs'!AA27=""),"",'Model inputs'!F17&gt;'Model inputs'!AA27))),'Model inputs'!AA12*'Model inputs'!AA10,0)</f>
        <v>0</v>
      </c>
      <c r="F11" s="9">
        <f>IF(IF(IF(ISERROR('Model inputs'!G17&gt;'Model inputs'!AA27),'Model inputs'!G17&gt;'Model inputs'!AA27,IF(OR('Model inputs'!G17="",'Model inputs'!AA27=""),"",'Model inputs'!G17&gt;'Model inputs'!AA27))="",FALSE,IF(ISERROR('Model inputs'!G17&gt;'Model inputs'!AA27),'Model inputs'!G17&gt;'Model inputs'!AA27,IF(OR('Model inputs'!G17="",'Model inputs'!AA27=""),"",'Model inputs'!G17&gt;'Model inputs'!AA27))),'Model inputs'!AA12*'Model inputs'!AA10,0)</f>
        <v>0</v>
      </c>
      <c r="G11" s="9">
        <f>IF(IF(IF(ISERROR('Model inputs'!H17&gt;'Model inputs'!AA27),'Model inputs'!H17&gt;'Model inputs'!AA27,IF(OR('Model inputs'!H17="",'Model inputs'!AA27=""),"",'Model inputs'!H17&gt;'Model inputs'!AA27))="",FALSE,IF(ISERROR('Model inputs'!H17&gt;'Model inputs'!AA27),'Model inputs'!H17&gt;'Model inputs'!AA27,IF(OR('Model inputs'!H17="",'Model inputs'!AA27=""),"",'Model inputs'!H17&gt;'Model inputs'!AA27))),'Model inputs'!AA12*'Model inputs'!AA10,0)</f>
        <v>0</v>
      </c>
      <c r="H11" s="9">
        <f>IF(IF(IF(ISERROR('Model inputs'!I17&gt;'Model inputs'!AA27),'Model inputs'!I17&gt;'Model inputs'!AA27,IF(OR('Model inputs'!I17="",'Model inputs'!AA27=""),"",'Model inputs'!I17&gt;'Model inputs'!AA27))="",FALSE,IF(ISERROR('Model inputs'!I17&gt;'Model inputs'!AA27),'Model inputs'!I17&gt;'Model inputs'!AA27,IF(OR('Model inputs'!I17="",'Model inputs'!AA27=""),"",'Model inputs'!I17&gt;'Model inputs'!AA27))),'Model inputs'!AA12*'Model inputs'!AA10,0)</f>
        <v>8000</v>
      </c>
      <c r="I11" s="9">
        <f>IF(IF(IF(ISERROR('Model inputs'!J17&gt;'Model inputs'!AA27),'Model inputs'!J17&gt;'Model inputs'!AA27,IF(OR('Model inputs'!J17="",'Model inputs'!AA27=""),"",'Model inputs'!J17&gt;'Model inputs'!AA27))="",FALSE,IF(ISERROR('Model inputs'!J17&gt;'Model inputs'!AA27),'Model inputs'!J17&gt;'Model inputs'!AA27,IF(OR('Model inputs'!J17="",'Model inputs'!AA27=""),"",'Model inputs'!J17&gt;'Model inputs'!AA27))),'Model inputs'!AA12*'Model inputs'!AA10,0)</f>
        <v>8000</v>
      </c>
      <c r="J11" s="9">
        <f>IF(IF(IF(ISERROR('Model inputs'!K17&gt;'Model inputs'!AA27),'Model inputs'!K17&gt;'Model inputs'!AA27,IF(OR('Model inputs'!K17="",'Model inputs'!AA27=""),"",'Model inputs'!K17&gt;'Model inputs'!AA27))="",FALSE,IF(ISERROR('Model inputs'!K17&gt;'Model inputs'!AA27),'Model inputs'!K17&gt;'Model inputs'!AA27,IF(OR('Model inputs'!K17="",'Model inputs'!AA27=""),"",'Model inputs'!K17&gt;'Model inputs'!AA27))),'Model inputs'!AA12*'Model inputs'!AA10,0)</f>
        <v>8000</v>
      </c>
      <c r="K11" s="9">
        <f>IF(IF(IF(ISERROR('Model inputs'!L17&gt;'Model inputs'!AA27),'Model inputs'!L17&gt;'Model inputs'!AA27,IF(OR('Model inputs'!L17="",'Model inputs'!AA27=""),"",'Model inputs'!L17&gt;'Model inputs'!AA27))="",FALSE,IF(ISERROR('Model inputs'!L17&gt;'Model inputs'!AA27),'Model inputs'!L17&gt;'Model inputs'!AA27,IF(OR('Model inputs'!L17="",'Model inputs'!AA27=""),"",'Model inputs'!L17&gt;'Model inputs'!AA27))),'Model inputs'!AA12*'Model inputs'!AA10,0)</f>
        <v>8000</v>
      </c>
      <c r="L11" s="9">
        <f>IF(IF(IF(ISERROR('Model inputs'!M17&gt;'Model inputs'!AA27),'Model inputs'!M17&gt;'Model inputs'!AA27,IF(OR('Model inputs'!M17="",'Model inputs'!AA27=""),"",'Model inputs'!M17&gt;'Model inputs'!AA27))="",FALSE,IF(ISERROR('Model inputs'!M17&gt;'Model inputs'!AA27),'Model inputs'!M17&gt;'Model inputs'!AA27,IF(OR('Model inputs'!M17="",'Model inputs'!AA27=""),"",'Model inputs'!M17&gt;'Model inputs'!AA27))),'Model inputs'!AA12*'Model inputs'!AA10,0)</f>
        <v>8000</v>
      </c>
      <c r="M11" s="9">
        <f>IF(IF(IF(ISERROR('Model inputs'!N17&gt;'Model inputs'!AA27),'Model inputs'!N17&gt;'Model inputs'!AA27,IF(OR('Model inputs'!N17="",'Model inputs'!AA27=""),"",'Model inputs'!N17&gt;'Model inputs'!AA27))="",FALSE,IF(ISERROR('Model inputs'!N17&gt;'Model inputs'!AA27),'Model inputs'!N17&gt;'Model inputs'!AA27,IF(OR('Model inputs'!N17="",'Model inputs'!AA27=""),"",'Model inputs'!N17&gt;'Model inputs'!AA27))),'Model inputs'!AA12*'Model inputs'!AA10,0)</f>
        <v>8000</v>
      </c>
      <c r="N11" s="9">
        <f>IF(IF(IF(ISERROR('Model inputs'!O17&gt;'Model inputs'!AA27),'Model inputs'!O17&gt;'Model inputs'!AA27,IF(OR('Model inputs'!O17="",'Model inputs'!AA27=""),"",'Model inputs'!O17&gt;'Model inputs'!AA27))="",FALSE,IF(ISERROR('Model inputs'!O17&gt;'Model inputs'!AA27),'Model inputs'!O17&gt;'Model inputs'!AA27,IF(OR('Model inputs'!O17="",'Model inputs'!AA27=""),"",'Model inputs'!O17&gt;'Model inputs'!AA27))),'Model inputs'!AA12*'Model inputs'!AA10,0)</f>
        <v>8000</v>
      </c>
      <c r="O11" s="9">
        <f>IF(IF(IF(ISERROR('Model inputs'!P17&gt;'Model inputs'!AA27),'Model inputs'!P17&gt;'Model inputs'!AA27,IF(OR('Model inputs'!P17="",'Model inputs'!AA27=""),"",'Model inputs'!P17&gt;'Model inputs'!AA27))="",FALSE,IF(ISERROR('Model inputs'!P17&gt;'Model inputs'!AA27),'Model inputs'!P17&gt;'Model inputs'!AA27,IF(OR('Model inputs'!P17="",'Model inputs'!AA27=""),"",'Model inputs'!P17&gt;'Model inputs'!AA27))),'Model inputs'!AA12*'Model inputs'!AA10,0)</f>
        <v>8000</v>
      </c>
      <c r="P11" s="9">
        <f>IF(IF(IF(ISERROR('Model inputs'!Q17&gt;'Model inputs'!AA27),'Model inputs'!Q17&gt;'Model inputs'!AA27,IF(OR('Model inputs'!Q17="",'Model inputs'!AA27=""),"",'Model inputs'!Q17&gt;'Model inputs'!AA27))="",FALSE,IF(ISERROR('Model inputs'!Q17&gt;'Model inputs'!AA27),'Model inputs'!Q17&gt;'Model inputs'!AA27,IF(OR('Model inputs'!Q17="",'Model inputs'!AA27=""),"",'Model inputs'!Q17&gt;'Model inputs'!AA27))),'Model inputs'!AA12*'Model inputs'!AA10,0)</f>
        <v>8000</v>
      </c>
      <c r="Q11" s="9">
        <f>IF(IF(IF(ISERROR('Model inputs'!R17&gt;'Model inputs'!AA27),'Model inputs'!R17&gt;'Model inputs'!AA27,IF(OR('Model inputs'!R17="",'Model inputs'!AA27=""),"",'Model inputs'!R17&gt;'Model inputs'!AA27))="",FALSE,IF(ISERROR('Model inputs'!R17&gt;'Model inputs'!AA27),'Model inputs'!R17&gt;'Model inputs'!AA27,IF(OR('Model inputs'!R17="",'Model inputs'!AA27=""),"",'Model inputs'!R17&gt;'Model inputs'!AA27))),'Model inputs'!AA12*'Model inputs'!AA10,0)</f>
        <v>8000</v>
      </c>
      <c r="R11" s="9">
        <f>IF(IF(IF(ISERROR('Model inputs'!S17&gt;'Model inputs'!AA27),'Model inputs'!S17&gt;'Model inputs'!AA27,IF(OR('Model inputs'!S17="",'Model inputs'!AA27=""),"",'Model inputs'!S17&gt;'Model inputs'!AA27))="",FALSE,IF(ISERROR('Model inputs'!S17&gt;'Model inputs'!AA27),'Model inputs'!S17&gt;'Model inputs'!AA27,IF(OR('Model inputs'!S17="",'Model inputs'!AA27=""),"",'Model inputs'!S17&gt;'Model inputs'!AA27))),'Model inputs'!AA12*'Model inputs'!AA10,0)</f>
        <v>8000</v>
      </c>
      <c r="S11" s="9">
        <f>IF(IF(IF(ISERROR('Model inputs'!T17&gt;'Model inputs'!AA27),'Model inputs'!T17&gt;'Model inputs'!AA27,IF(OR('Model inputs'!T17="",'Model inputs'!AA27=""),"",'Model inputs'!T17&gt;'Model inputs'!AA27))="",FALSE,IF(ISERROR('Model inputs'!T17&gt;'Model inputs'!AA27),'Model inputs'!T17&gt;'Model inputs'!AA27,IF(OR('Model inputs'!T17="",'Model inputs'!AA27=""),"",'Model inputs'!T17&gt;'Model inputs'!AA27))),'Model inputs'!AA12*'Model inputs'!AA10,0)</f>
        <v>8000</v>
      </c>
      <c r="T11" s="9">
        <f>IF(IF(IF(ISERROR('Model inputs'!U17&gt;'Model inputs'!AA27),'Model inputs'!U17&gt;'Model inputs'!AA27,IF(OR('Model inputs'!U17="",'Model inputs'!AA27=""),"",'Model inputs'!U17&gt;'Model inputs'!AA27))="",FALSE,IF(ISERROR('Model inputs'!U17&gt;'Model inputs'!AA27),'Model inputs'!U17&gt;'Model inputs'!AA27,IF(OR('Model inputs'!U17="",'Model inputs'!AA27=""),"",'Model inputs'!U17&gt;'Model inputs'!AA27))),'Model inputs'!AA12*'Model inputs'!AA10,0)</f>
        <v>8000</v>
      </c>
      <c r="U11" s="9">
        <f>IF(IF(IF(ISERROR('Model inputs'!V17&gt;'Model inputs'!AA27),'Model inputs'!V17&gt;'Model inputs'!AA27,IF(OR('Model inputs'!V17="",'Model inputs'!AA27=""),"",'Model inputs'!V17&gt;'Model inputs'!AA27))="",FALSE,IF(ISERROR('Model inputs'!V17&gt;'Model inputs'!AA27),'Model inputs'!V17&gt;'Model inputs'!AA27,IF(OR('Model inputs'!V17="",'Model inputs'!AA27=""),"",'Model inputs'!V17&gt;'Model inputs'!AA27))),'Model inputs'!AA12*'Model inputs'!AA10,0)</f>
        <v>8000</v>
      </c>
      <c r="V11" s="9">
        <f>IF(IF(IF(ISERROR('Model inputs'!W17&gt;'Model inputs'!AA27),'Model inputs'!W17&gt;'Model inputs'!AA27,IF(OR('Model inputs'!W17="",'Model inputs'!AA27=""),"",'Model inputs'!W17&gt;'Model inputs'!AA27))="",FALSE,IF(ISERROR('Model inputs'!W17&gt;'Model inputs'!AA27),'Model inputs'!W17&gt;'Model inputs'!AA27,IF(OR('Model inputs'!W17="",'Model inputs'!AA27=""),"",'Model inputs'!W17&gt;'Model inputs'!AA27))),'Model inputs'!AA12*'Model inputs'!AA10,0)</f>
        <v>8000</v>
      </c>
      <c r="W11" s="9">
        <f>IF(IF(IF(ISERROR('Model inputs'!X17&gt;'Model inputs'!AA27),'Model inputs'!X17&gt;'Model inputs'!AA27,IF(OR('Model inputs'!X17="",'Model inputs'!AA27=""),"",'Model inputs'!X17&gt;'Model inputs'!AA27))="",FALSE,IF(ISERROR('Model inputs'!X17&gt;'Model inputs'!AA27),'Model inputs'!X17&gt;'Model inputs'!AA27,IF(OR('Model inputs'!X17="",'Model inputs'!AA27=""),"",'Model inputs'!X17&gt;'Model inputs'!AA27))),'Model inputs'!AA12*'Model inputs'!AA10,0)</f>
        <v>8000</v>
      </c>
      <c r="X11" s="9">
        <f>IF(IF(IF(ISERROR('Model inputs'!Y17&gt;'Model inputs'!AA27),'Model inputs'!Y17&gt;'Model inputs'!AA27,IF(OR('Model inputs'!Y17="",'Model inputs'!AA27=""),"",'Model inputs'!Y17&gt;'Model inputs'!AA27))="",FALSE,IF(ISERROR('Model inputs'!Y17&gt;'Model inputs'!AA27),'Model inputs'!Y17&gt;'Model inputs'!AA27,IF(OR('Model inputs'!Y17="",'Model inputs'!AA27=""),"",'Model inputs'!Y17&gt;'Model inputs'!AA27))),'Model inputs'!AA12*'Model inputs'!AA10,0)</f>
        <v>8000</v>
      </c>
      <c r="Y11" s="9">
        <f>IF(IF(IF(ISERROR('Model inputs'!Z17&gt;'Model inputs'!AA27),'Model inputs'!Z17&gt;'Model inputs'!AA27,IF(OR('Model inputs'!Z17="",'Model inputs'!AA27=""),"",'Model inputs'!Z17&gt;'Model inputs'!AA27))="",FALSE,IF(ISERROR('Model inputs'!Z17&gt;'Model inputs'!AA27),'Model inputs'!Z17&gt;'Model inputs'!AA27,IF(OR('Model inputs'!Z17="",'Model inputs'!AA27=""),"",'Model inputs'!Z17&gt;'Model inputs'!AA27))),'Model inputs'!AA12*'Model inputs'!AA10,0)</f>
        <v>8000</v>
      </c>
    </row>
    <row r="12">
      <c r="A12" t="inlineStr" s="8">
        <is>
          <t xml:space="preserve">Software and tools</t>
        </is>
      </c>
      <c r="B12" s="9">
        <f>IF('Model inputs'!AA26="","",'Model inputs'!AA26)</f>
        <v>200</v>
      </c>
      <c r="C12" s="9">
        <f>IF('Model inputs'!AA26="","",'Model inputs'!AA26)</f>
        <v>200</v>
      </c>
      <c r="D12" s="9">
        <f>IF('Model inputs'!AA26="","",'Model inputs'!AA26)</f>
        <v>200</v>
      </c>
      <c r="E12" s="9">
        <f>IF('Model inputs'!AA26="","",'Model inputs'!AA26)</f>
        <v>200</v>
      </c>
      <c r="F12" s="9">
        <f>IF('Model inputs'!AA26="","",'Model inputs'!AA26)</f>
        <v>200</v>
      </c>
      <c r="G12" s="9">
        <f>IF('Model inputs'!AA26="","",'Model inputs'!AA26)</f>
        <v>200</v>
      </c>
      <c r="H12" s="9">
        <f>IF('Model inputs'!AA26="","",'Model inputs'!AA26)</f>
        <v>200</v>
      </c>
      <c r="I12" s="9">
        <f>IF('Model inputs'!AA26="","",'Model inputs'!AA26)</f>
        <v>200</v>
      </c>
      <c r="J12" s="9">
        <f>IF('Model inputs'!AA26="","",'Model inputs'!AA26)</f>
        <v>200</v>
      </c>
      <c r="K12" s="9">
        <f>IF('Model inputs'!AA26="","",'Model inputs'!AA26)</f>
        <v>200</v>
      </c>
      <c r="L12" s="9">
        <f>IF('Model inputs'!AA26="","",'Model inputs'!AA26)</f>
        <v>200</v>
      </c>
      <c r="M12" s="9">
        <f>IF('Model inputs'!AA26="","",'Model inputs'!AA26)</f>
        <v>200</v>
      </c>
      <c r="N12" s="9">
        <f>IF('Model inputs'!AA26="","",'Model inputs'!AA26)</f>
        <v>200</v>
      </c>
      <c r="O12" s="9">
        <f>IF('Model inputs'!AA26="","",'Model inputs'!AA26)</f>
        <v>200</v>
      </c>
      <c r="P12" s="9">
        <f>IF('Model inputs'!AA26="","",'Model inputs'!AA26)</f>
        <v>200</v>
      </c>
      <c r="Q12" s="9">
        <f>IF('Model inputs'!AA26="","",'Model inputs'!AA26)</f>
        <v>200</v>
      </c>
      <c r="R12" s="9">
        <f>IF('Model inputs'!AA26="","",'Model inputs'!AA26)</f>
        <v>200</v>
      </c>
      <c r="S12" s="9">
        <f>IF('Model inputs'!AA26="","",'Model inputs'!AA26)</f>
        <v>200</v>
      </c>
      <c r="T12" s="9">
        <f>IF('Model inputs'!AA26="","",'Model inputs'!AA26)</f>
        <v>200</v>
      </c>
      <c r="U12" s="9">
        <f>IF('Model inputs'!AA26="","",'Model inputs'!AA26)</f>
        <v>200</v>
      </c>
      <c r="V12" s="9">
        <f>IF('Model inputs'!AA26="","",'Model inputs'!AA26)</f>
        <v>200</v>
      </c>
      <c r="W12" s="9">
        <f>IF('Model inputs'!AA26="","",'Model inputs'!AA26)</f>
        <v>200</v>
      </c>
      <c r="X12" s="9">
        <f>IF('Model inputs'!AA26="","",'Model inputs'!AA26)</f>
        <v>200</v>
      </c>
      <c r="Y12" s="9">
        <f>IF('Model inputs'!AA26="","",'Model inputs'!AA26)</f>
        <v>200</v>
      </c>
    </row>
    <row r="13">
      <c r="A13" t="inlineStr" s="10">
        <is>
          <t xml:space="preserve">Operating expenses</t>
        </is>
      </c>
      <c r="B13" s="9">
        <f>'Kedge P&amp;L, Burn &amp; Runway'!B11+'Kedge P&amp;L, Burn &amp; Runway'!B12</f>
        <v>200</v>
      </c>
      <c r="C13" s="9">
        <f>'Kedge P&amp;L, Burn &amp; Runway'!C11+'Kedge P&amp;L, Burn &amp; Runway'!C12</f>
        <v>200</v>
      </c>
      <c r="D13" s="9">
        <f>'Kedge P&amp;L, Burn &amp; Runway'!D11+'Kedge P&amp;L, Burn &amp; Runway'!D12</f>
        <v>200</v>
      </c>
      <c r="E13" s="9">
        <f>'Kedge P&amp;L, Burn &amp; Runway'!E11+'Kedge P&amp;L, Burn &amp; Runway'!E12</f>
        <v>200</v>
      </c>
      <c r="F13" s="9">
        <f>'Kedge P&amp;L, Burn &amp; Runway'!F11+'Kedge P&amp;L, Burn &amp; Runway'!F12</f>
        <v>200</v>
      </c>
      <c r="G13" s="9">
        <f>'Kedge P&amp;L, Burn &amp; Runway'!G11+'Kedge P&amp;L, Burn &amp; Runway'!G12</f>
        <v>200</v>
      </c>
      <c r="H13" s="9">
        <f>'Kedge P&amp;L, Burn &amp; Runway'!H11+'Kedge P&amp;L, Burn &amp; Runway'!H12</f>
        <v>8200</v>
      </c>
      <c r="I13" s="9">
        <f>'Kedge P&amp;L, Burn &amp; Runway'!I11+'Kedge P&amp;L, Burn &amp; Runway'!I12</f>
        <v>8200</v>
      </c>
      <c r="J13" s="9">
        <f>'Kedge P&amp;L, Burn &amp; Runway'!J11+'Kedge P&amp;L, Burn &amp; Runway'!J12</f>
        <v>8200</v>
      </c>
      <c r="K13" s="9">
        <f>'Kedge P&amp;L, Burn &amp; Runway'!K11+'Kedge P&amp;L, Burn &amp; Runway'!K12</f>
        <v>8200</v>
      </c>
      <c r="L13" s="9">
        <f>'Kedge P&amp;L, Burn &amp; Runway'!L11+'Kedge P&amp;L, Burn &amp; Runway'!L12</f>
        <v>8200</v>
      </c>
      <c r="M13" s="9">
        <f>'Kedge P&amp;L, Burn &amp; Runway'!M11+'Kedge P&amp;L, Burn &amp; Runway'!M12</f>
        <v>8200</v>
      </c>
      <c r="N13" s="9">
        <f>'Kedge P&amp;L, Burn &amp; Runway'!N11+'Kedge P&amp;L, Burn &amp; Runway'!N12</f>
        <v>8200</v>
      </c>
      <c r="O13" s="9">
        <f>'Kedge P&amp;L, Burn &amp; Runway'!O11+'Kedge P&amp;L, Burn &amp; Runway'!O12</f>
        <v>8200</v>
      </c>
      <c r="P13" s="9">
        <f>'Kedge P&amp;L, Burn &amp; Runway'!P11+'Kedge P&amp;L, Burn &amp; Runway'!P12</f>
        <v>8200</v>
      </c>
      <c r="Q13" s="9">
        <f>'Kedge P&amp;L, Burn &amp; Runway'!Q11+'Kedge P&amp;L, Burn &amp; Runway'!Q12</f>
        <v>8200</v>
      </c>
      <c r="R13" s="9">
        <f>'Kedge P&amp;L, Burn &amp; Runway'!R11+'Kedge P&amp;L, Burn &amp; Runway'!R12</f>
        <v>8200</v>
      </c>
      <c r="S13" s="9">
        <f>'Kedge P&amp;L, Burn &amp; Runway'!S11+'Kedge P&amp;L, Burn &amp; Runway'!S12</f>
        <v>8200</v>
      </c>
      <c r="T13" s="9">
        <f>'Kedge P&amp;L, Burn &amp; Runway'!T11+'Kedge P&amp;L, Burn &amp; Runway'!T12</f>
        <v>8200</v>
      </c>
      <c r="U13" s="9">
        <f>'Kedge P&amp;L, Burn &amp; Runway'!U11+'Kedge P&amp;L, Burn &amp; Runway'!U12</f>
        <v>8200</v>
      </c>
      <c r="V13" s="9">
        <f>'Kedge P&amp;L, Burn &amp; Runway'!V11+'Kedge P&amp;L, Burn &amp; Runway'!V12</f>
        <v>8200</v>
      </c>
      <c r="W13" s="9">
        <f>'Kedge P&amp;L, Burn &amp; Runway'!W11+'Kedge P&amp;L, Burn &amp; Runway'!W12</f>
        <v>8200</v>
      </c>
      <c r="X13" s="9">
        <f>'Kedge P&amp;L, Burn &amp; Runway'!X11+'Kedge P&amp;L, Burn &amp; Runway'!X12</f>
        <v>8200</v>
      </c>
      <c r="Y13" s="9">
        <f>'Kedge P&amp;L, Burn &amp; Runway'!Y11+'Kedge P&amp;L, Burn &amp; Runway'!Y12</f>
        <v>8200</v>
      </c>
    </row>
    <row r="14">
      <c r="A14" t="inlineStr" s="11">
        <is>
          <t xml:space="preserve">Operating income</t>
        </is>
      </c>
      <c r="B14" s="12">
        <f>'Kedge P&amp;L, Burn &amp; Runway'!B9-'Kedge P&amp;L, Burn &amp; Runway'!B13</f>
        <v>632.5</v>
      </c>
      <c r="C14" s="12">
        <f>'Kedge P&amp;L, Burn &amp; Runway'!C9-'Kedge P&amp;L, Burn &amp; Runway'!C13</f>
        <v>2542.3529411764703</v>
      </c>
      <c r="D14" s="12">
        <f>'Kedge P&amp;L, Burn &amp; Runway'!D9-'Kedge P&amp;L, Burn &amp; Runway'!D13</f>
        <v>4452.2058823529405</v>
      </c>
      <c r="E14" s="12">
        <f>'Kedge P&amp;L, Burn &amp; Runway'!E9-'Kedge P&amp;L, Burn &amp; Runway'!E13</f>
        <v>6362.058823529413</v>
      </c>
      <c r="F14" s="12">
        <f>'Kedge P&amp;L, Burn &amp; Runway'!F9-'Kedge P&amp;L, Burn &amp; Runway'!F13</f>
        <v>8271.911764705881</v>
      </c>
      <c r="G14" s="12">
        <f>'Kedge P&amp;L, Burn &amp; Runway'!G9-'Kedge P&amp;L, Burn &amp; Runway'!G13</f>
        <v>10181.764705882351</v>
      </c>
      <c r="H14" s="12">
        <f>'Kedge P&amp;L, Burn &amp; Runway'!H9-'Kedge P&amp;L, Burn &amp; Runway'!H13</f>
        <v>4091.6176470588252</v>
      </c>
      <c r="I14" s="12">
        <f>'Kedge P&amp;L, Burn &amp; Runway'!I9-'Kedge P&amp;L, Burn &amp; Runway'!I13</f>
        <v>6001.470588235294</v>
      </c>
      <c r="J14" s="12">
        <f>'Kedge P&amp;L, Burn &amp; Runway'!J9-'Kedge P&amp;L, Burn &amp; Runway'!J13</f>
        <v>7911.323529411764</v>
      </c>
      <c r="K14" s="12">
        <f>'Kedge P&amp;L, Burn &amp; Runway'!K9-'Kedge P&amp;L, Burn &amp; Runway'!K13</f>
        <v>9821.176470588234</v>
      </c>
      <c r="L14" s="12">
        <f>'Kedge P&amp;L, Burn &amp; Runway'!L9-'Kedge P&amp;L, Burn &amp; Runway'!L13</f>
        <v>11731.029411764703</v>
      </c>
      <c r="M14" s="12">
        <f>'Kedge P&amp;L, Burn &amp; Runway'!M9-'Kedge P&amp;L, Burn &amp; Runway'!M13</f>
        <v>13640.882352941175</v>
      </c>
      <c r="N14" s="12">
        <f>'Kedge P&amp;L, Burn &amp; Runway'!N9-'Kedge P&amp;L, Burn &amp; Runway'!N13</f>
        <v>15550.73529411765</v>
      </c>
      <c r="O14" s="12">
        <f>'Kedge P&amp;L, Burn &amp; Runway'!O9-'Kedge P&amp;L, Burn &amp; Runway'!O13</f>
        <v>17460.58823529412</v>
      </c>
      <c r="P14" s="12">
        <f>'Kedge P&amp;L, Burn &amp; Runway'!P9-'Kedge P&amp;L, Burn &amp; Runway'!P13</f>
        <v>19370.441176470587</v>
      </c>
      <c r="Q14" s="12">
        <f>'Kedge P&amp;L, Burn &amp; Runway'!Q9-'Kedge P&amp;L, Burn &amp; Runway'!Q13</f>
        <v>21280.29411764706</v>
      </c>
      <c r="R14" s="12">
        <f>'Kedge P&amp;L, Burn &amp; Runway'!R9-'Kedge P&amp;L, Burn &amp; Runway'!R13</f>
        <v>23190.147058823528</v>
      </c>
      <c r="S14" s="12">
        <f>'Kedge P&amp;L, Burn &amp; Runway'!S9-'Kedge P&amp;L, Burn &amp; Runway'!S13</f>
        <v>25100</v>
      </c>
      <c r="T14" s="12">
        <f>'Kedge P&amp;L, Burn &amp; Runway'!T9-'Kedge P&amp;L, Burn &amp; Runway'!T13</f>
        <v>25100</v>
      </c>
      <c r="U14" s="12">
        <f>'Kedge P&amp;L, Burn &amp; Runway'!U9-'Kedge P&amp;L, Burn &amp; Runway'!U13</f>
        <v>25100</v>
      </c>
      <c r="V14" s="12">
        <f>'Kedge P&amp;L, Burn &amp; Runway'!V9-'Kedge P&amp;L, Burn &amp; Runway'!V13</f>
        <v>25100</v>
      </c>
      <c r="W14" s="12">
        <f>'Kedge P&amp;L, Burn &amp; Runway'!W9-'Kedge P&amp;L, Burn &amp; Runway'!W13</f>
        <v>25100</v>
      </c>
      <c r="X14" s="12">
        <f>'Kedge P&amp;L, Burn &amp; Runway'!X9-'Kedge P&amp;L, Burn &amp; Runway'!X13</f>
        <v>25100</v>
      </c>
      <c r="Y14" s="12">
        <f>'Kedge P&amp;L, Burn &amp; Runway'!Y9-'Kedge P&amp;L, Burn &amp; Runway'!Y13</f>
        <v>25100</v>
      </c>
    </row>
    <row r="15">
      <c r="A15" t="inlineStr" s="10">
        <is>
          <t xml:space="preserve">Net burn</t>
        </is>
      </c>
      <c r="B15" s="9">
        <f>-'Kedge P&amp;L, Burn &amp; Runway'!B14</f>
        <v>-632.5</v>
      </c>
      <c r="C15" s="9">
        <f>-'Kedge P&amp;L, Burn &amp; Runway'!C14</f>
        <v>-2542.3529411764703</v>
      </c>
      <c r="D15" s="9">
        <f>-'Kedge P&amp;L, Burn &amp; Runway'!D14</f>
        <v>-4452.2058823529405</v>
      </c>
      <c r="E15" s="9">
        <f>-'Kedge P&amp;L, Burn &amp; Runway'!E14</f>
        <v>-6362.058823529413</v>
      </c>
      <c r="F15" s="9">
        <f>-'Kedge P&amp;L, Burn &amp; Runway'!F14</f>
        <v>-8271.911764705881</v>
      </c>
      <c r="G15" s="9">
        <f>-'Kedge P&amp;L, Burn &amp; Runway'!G14</f>
        <v>-10181.764705882351</v>
      </c>
      <c r="H15" s="9">
        <f>-'Kedge P&amp;L, Burn &amp; Runway'!H14</f>
        <v>-4091.6176470588252</v>
      </c>
      <c r="I15" s="9">
        <f>-'Kedge P&amp;L, Burn &amp; Runway'!I14</f>
        <v>-6001.470588235294</v>
      </c>
      <c r="J15" s="9">
        <f>-'Kedge P&amp;L, Burn &amp; Runway'!J14</f>
        <v>-7911.323529411764</v>
      </c>
      <c r="K15" s="9">
        <f>-'Kedge P&amp;L, Burn &amp; Runway'!K14</f>
        <v>-9821.176470588234</v>
      </c>
      <c r="L15" s="9">
        <f>-'Kedge P&amp;L, Burn &amp; Runway'!L14</f>
        <v>-11731.029411764703</v>
      </c>
      <c r="M15" s="9">
        <f>-'Kedge P&amp;L, Burn &amp; Runway'!M14</f>
        <v>-13640.882352941175</v>
      </c>
      <c r="N15" s="9">
        <f>-'Kedge P&amp;L, Burn &amp; Runway'!N14</f>
        <v>-15550.73529411765</v>
      </c>
      <c r="O15" s="9">
        <f>-'Kedge P&amp;L, Burn &amp; Runway'!O14</f>
        <v>-17460.58823529412</v>
      </c>
      <c r="P15" s="9">
        <f>-'Kedge P&amp;L, Burn &amp; Runway'!P14</f>
        <v>-19370.441176470587</v>
      </c>
      <c r="Q15" s="9">
        <f>-'Kedge P&amp;L, Burn &amp; Runway'!Q14</f>
        <v>-21280.29411764706</v>
      </c>
      <c r="R15" s="9">
        <f>-'Kedge P&amp;L, Burn &amp; Runway'!R14</f>
        <v>-23190.147058823528</v>
      </c>
      <c r="S15" s="9">
        <f>-'Kedge P&amp;L, Burn &amp; Runway'!S14</f>
        <v>-25100</v>
      </c>
      <c r="T15" s="9">
        <f>-'Kedge P&amp;L, Burn &amp; Runway'!T14</f>
        <v>-25100</v>
      </c>
      <c r="U15" s="9">
        <f>-'Kedge P&amp;L, Burn &amp; Runway'!U14</f>
        <v>-25100</v>
      </c>
      <c r="V15" s="9">
        <f>-'Kedge P&amp;L, Burn &amp; Runway'!V14</f>
        <v>-25100</v>
      </c>
      <c r="W15" s="9">
        <f>-'Kedge P&amp;L, Burn &amp; Runway'!W14</f>
        <v>-25100</v>
      </c>
      <c r="X15" s="9">
        <f>-'Kedge P&amp;L, Burn &amp; Runway'!X14</f>
        <v>-25100</v>
      </c>
      <c r="Y15" s="9">
        <f>-'Kedge P&amp;L, Burn &amp; Runway'!Y14</f>
        <v>-25100</v>
      </c>
    </row>
    <row r="16">
      <c r="A16" t="inlineStr" s="10">
        <is>
          <t xml:space="preserve">Equity raised</t>
        </is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f>0</f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>
      <c r="A17" t="inlineStr" s="11">
        <is>
          <t xml:space="preserve">Cash balance</t>
        </is>
      </c>
      <c r="B17" s="12">
        <f>'Model inputs'!B7-'Kedge P&amp;L, Burn &amp; Runway'!B15+'Kedge P&amp;L, Burn &amp; Runway'!B16</f>
        <v>632.5</v>
      </c>
      <c r="C17" s="12">
        <f>'Kedge P&amp;L, Burn &amp; Runway'!B17-'Kedge P&amp;L, Burn &amp; Runway'!C15+'Kedge P&amp;L, Burn &amp; Runway'!C16</f>
        <v>3174.8529411764703</v>
      </c>
      <c r="D17" s="12">
        <f>'Kedge P&amp;L, Burn &amp; Runway'!C17-'Kedge P&amp;L, Burn &amp; Runway'!D15+'Kedge P&amp;L, Burn &amp; Runway'!D16</f>
        <v>7627.058823529411</v>
      </c>
      <c r="E17" s="12">
        <f>'Kedge P&amp;L, Burn &amp; Runway'!D17-'Kedge P&amp;L, Burn &amp; Runway'!E15+'Kedge P&amp;L, Burn &amp; Runway'!E16</f>
        <v>13989.117647058823</v>
      </c>
      <c r="F17" s="12">
        <f>'Kedge P&amp;L, Burn &amp; Runway'!E17-'Kedge P&amp;L, Burn &amp; Runway'!F15+'Kedge P&amp;L, Burn &amp; Runway'!F16</f>
        <v>22261.029411764706</v>
      </c>
      <c r="G17" s="12">
        <f>'Kedge P&amp;L, Burn &amp; Runway'!F17-'Kedge P&amp;L, Burn &amp; Runway'!G15+'Kedge P&amp;L, Burn &amp; Runway'!G16</f>
        <v>32442.794117647056</v>
      </c>
      <c r="H17" s="12">
        <f>'Kedge P&amp;L, Burn &amp; Runway'!G17-'Kedge P&amp;L, Burn &amp; Runway'!H15+'Kedge P&amp;L, Burn &amp; Runway'!H16</f>
        <v>36534.41176470588</v>
      </c>
      <c r="I17" s="12">
        <f>'Kedge P&amp;L, Burn &amp; Runway'!H17-'Kedge P&amp;L, Burn &amp; Runway'!I15+'Kedge P&amp;L, Burn &amp; Runway'!I16</f>
        <v>42535.882352941175</v>
      </c>
      <c r="J17" s="12">
        <f>'Kedge P&amp;L, Burn &amp; Runway'!I17-'Kedge P&amp;L, Burn &amp; Runway'!J15+'Kedge P&amp;L, Burn &amp; Runway'!J16</f>
        <v>50447.20588235294</v>
      </c>
      <c r="K17" s="12">
        <f>'Kedge P&amp;L, Burn &amp; Runway'!J17-'Kedge P&amp;L, Burn &amp; Runway'!K15+'Kedge P&amp;L, Burn &amp; Runway'!K16</f>
        <v>60268.382352941175</v>
      </c>
      <c r="L17" s="12">
        <f>'Kedge P&amp;L, Burn &amp; Runway'!K17-'Kedge P&amp;L, Burn &amp; Runway'!L15+'Kedge P&amp;L, Burn &amp; Runway'!L16</f>
        <v>71999.41176470587</v>
      </c>
      <c r="M17" s="12">
        <f>'Kedge P&amp;L, Burn &amp; Runway'!L17-'Kedge P&amp;L, Burn &amp; Runway'!M15+'Kedge P&amp;L, Burn &amp; Runway'!M16</f>
        <v>85640.29411764705</v>
      </c>
      <c r="N17" s="12">
        <f>'Kedge P&amp;L, Burn &amp; Runway'!M17-'Kedge P&amp;L, Burn &amp; Runway'!N15+'Kedge P&amp;L, Burn &amp; Runway'!N16</f>
        <v>101191.0294117647</v>
      </c>
      <c r="O17" s="12">
        <f>'Kedge P&amp;L, Burn &amp; Runway'!N17-'Kedge P&amp;L, Burn &amp; Runway'!O15+'Kedge P&amp;L, Burn &amp; Runway'!O16</f>
        <v>118651.61764705883</v>
      </c>
      <c r="P17" s="12">
        <f>'Kedge P&amp;L, Burn &amp; Runway'!O17-'Kedge P&amp;L, Burn &amp; Runway'!P15+'Kedge P&amp;L, Burn &amp; Runway'!P16</f>
        <v>138022.0588235294</v>
      </c>
      <c r="Q17" s="12">
        <f>'Kedge P&amp;L, Burn &amp; Runway'!P17-'Kedge P&amp;L, Burn &amp; Runway'!Q15+'Kedge P&amp;L, Burn &amp; Runway'!Q16</f>
        <v>159302.35294117645</v>
      </c>
      <c r="R17" s="12">
        <f>'Kedge P&amp;L, Burn &amp; Runway'!Q17-'Kedge P&amp;L, Burn &amp; Runway'!R15+'Kedge P&amp;L, Burn &amp; Runway'!R16</f>
        <v>182492.49999999997</v>
      </c>
      <c r="S17" s="12">
        <f>'Kedge P&amp;L, Burn &amp; Runway'!R17-'Kedge P&amp;L, Burn &amp; Runway'!S15+'Kedge P&amp;L, Burn &amp; Runway'!S16</f>
        <v>207592.49999999997</v>
      </c>
      <c r="T17" s="12">
        <f>'Kedge P&amp;L, Burn &amp; Runway'!S17-'Kedge P&amp;L, Burn &amp; Runway'!T15+'Kedge P&amp;L, Burn &amp; Runway'!T16</f>
        <v>232692.49999999997</v>
      </c>
      <c r="U17" s="12">
        <f>'Kedge P&amp;L, Burn &amp; Runway'!T17-'Kedge P&amp;L, Burn &amp; Runway'!U15+'Kedge P&amp;L, Burn &amp; Runway'!U16</f>
        <v>257792.49999999997</v>
      </c>
      <c r="V17" s="12">
        <f>'Kedge P&amp;L, Burn &amp; Runway'!U17-'Kedge P&amp;L, Burn &amp; Runway'!V15+'Kedge P&amp;L, Burn &amp; Runway'!V16</f>
        <v>282892.5</v>
      </c>
      <c r="W17" s="12">
        <f>'Kedge P&amp;L, Burn &amp; Runway'!V17-'Kedge P&amp;L, Burn &amp; Runway'!W15+'Kedge P&amp;L, Burn &amp; Runway'!W16</f>
        <v>307992.5</v>
      </c>
      <c r="X17" s="12">
        <f>'Kedge P&amp;L, Burn &amp; Runway'!W17-'Kedge P&amp;L, Burn &amp; Runway'!X15+'Kedge P&amp;L, Burn &amp; Runway'!X16</f>
        <v>333092.5</v>
      </c>
      <c r="Y17" s="12">
        <f>'Kedge P&amp;L, Burn &amp; Runway'!X17-'Kedge P&amp;L, Burn &amp; Runway'!Y15+'Kedge P&amp;L, Burn &amp; Runway'!Y16</f>
        <v>358192.5</v>
      </c>
    </row>
    <row r="18">
      <c r="A18" t="inlineStr" s="10">
        <is>
          <t xml:space="preserve">Funding needed to date</t>
        </is>
      </c>
      <c r="B18" s="9">
        <f>IF(IF(IF(ISERROR(-'Kedge P&amp;L, Burn &amp; Runway'!B17&gt;'Model inputs'!B13),-'Kedge P&amp;L, Burn &amp; Runway'!B17&gt;'Model inputs'!B13,IF('Model inputs'!B13="","",-'Kedge P&amp;L, Burn &amp; Runway'!B17&gt;'Model inputs'!B13))="",FALSE,IF(ISERROR(-'Kedge P&amp;L, Burn &amp; Runway'!B17&gt;'Model inputs'!B13),-'Kedge P&amp;L, Burn &amp; Runway'!B17&gt;'Model inputs'!B13,IF('Model inputs'!B13="","",-'Kedge P&amp;L, Burn &amp; Runway'!B17&gt;'Model inputs'!B13))),-'Kedge P&amp;L, Burn &amp; Runway'!B17,IF('Model inputs'!B13="","",'Model inputs'!B13))</f>
        <v>0</v>
      </c>
      <c r="C18" s="9">
        <f>IF(IF(IF(ISERROR(-'Kedge P&amp;L, Burn &amp; Runway'!C17&gt;'Kedge P&amp;L, Burn &amp; Runway'!B18),-'Kedge P&amp;L, Burn &amp; Runway'!C17&gt;'Kedge P&amp;L, Burn &amp; Runway'!B18,IF('Kedge P&amp;L, Burn &amp; Runway'!B18="","",-'Kedge P&amp;L, Burn &amp; Runway'!C17&gt;'Kedge P&amp;L, Burn &amp; Runway'!B18))="",FALSE,IF(ISERROR(-'Kedge P&amp;L, Burn &amp; Runway'!C17&gt;'Kedge P&amp;L, Burn &amp; Runway'!B18),-'Kedge P&amp;L, Burn &amp; Runway'!C17&gt;'Kedge P&amp;L, Burn &amp; Runway'!B18,IF('Kedge P&amp;L, Burn &amp; Runway'!B18="","",-'Kedge P&amp;L, Burn &amp; Runway'!C17&gt;'Kedge P&amp;L, Burn &amp; Runway'!B18))),-'Kedge P&amp;L, Burn &amp; Runway'!C17,IF('Kedge P&amp;L, Burn &amp; Runway'!B18="","",'Kedge P&amp;L, Burn &amp; Runway'!B18))</f>
        <v>0</v>
      </c>
      <c r="D18" s="9">
        <f>IF(IF(IF(ISERROR(-'Kedge P&amp;L, Burn &amp; Runway'!D17&gt;'Kedge P&amp;L, Burn &amp; Runway'!C18),-'Kedge P&amp;L, Burn &amp; Runway'!D17&gt;'Kedge P&amp;L, Burn &amp; Runway'!C18,IF('Kedge P&amp;L, Burn &amp; Runway'!C18="","",-'Kedge P&amp;L, Burn &amp; Runway'!D17&gt;'Kedge P&amp;L, Burn &amp; Runway'!C18))="",FALSE,IF(ISERROR(-'Kedge P&amp;L, Burn &amp; Runway'!D17&gt;'Kedge P&amp;L, Burn &amp; Runway'!C18),-'Kedge P&amp;L, Burn &amp; Runway'!D17&gt;'Kedge P&amp;L, Burn &amp; Runway'!C18,IF('Kedge P&amp;L, Burn &amp; Runway'!C18="","",-'Kedge P&amp;L, Burn &amp; Runway'!D17&gt;'Kedge P&amp;L, Burn &amp; Runway'!C18))),-'Kedge P&amp;L, Burn &amp; Runway'!D17,IF('Kedge P&amp;L, Burn &amp; Runway'!C18="","",'Kedge P&amp;L, Burn &amp; Runway'!C18))</f>
        <v>0</v>
      </c>
      <c r="E18" s="9">
        <f>IF(IF(IF(ISERROR(-'Kedge P&amp;L, Burn &amp; Runway'!E17&gt;'Kedge P&amp;L, Burn &amp; Runway'!D18),-'Kedge P&amp;L, Burn &amp; Runway'!E17&gt;'Kedge P&amp;L, Burn &amp; Runway'!D18,IF('Kedge P&amp;L, Burn &amp; Runway'!D18="","",-'Kedge P&amp;L, Burn &amp; Runway'!E17&gt;'Kedge P&amp;L, Burn &amp; Runway'!D18))="",FALSE,IF(ISERROR(-'Kedge P&amp;L, Burn &amp; Runway'!E17&gt;'Kedge P&amp;L, Burn &amp; Runway'!D18),-'Kedge P&amp;L, Burn &amp; Runway'!E17&gt;'Kedge P&amp;L, Burn &amp; Runway'!D18,IF('Kedge P&amp;L, Burn &amp; Runway'!D18="","",-'Kedge P&amp;L, Burn &amp; Runway'!E17&gt;'Kedge P&amp;L, Burn &amp; Runway'!D18))),-'Kedge P&amp;L, Burn &amp; Runway'!E17,IF('Kedge P&amp;L, Burn &amp; Runway'!D18="","",'Kedge P&amp;L, Burn &amp; Runway'!D18))</f>
        <v>0</v>
      </c>
      <c r="F18" s="9">
        <f>IF(IF(IF(ISERROR(-'Kedge P&amp;L, Burn &amp; Runway'!F17&gt;'Kedge P&amp;L, Burn &amp; Runway'!E18),-'Kedge P&amp;L, Burn &amp; Runway'!F17&gt;'Kedge P&amp;L, Burn &amp; Runway'!E18,IF('Kedge P&amp;L, Burn &amp; Runway'!E18="","",-'Kedge P&amp;L, Burn &amp; Runway'!F17&gt;'Kedge P&amp;L, Burn &amp; Runway'!E18))="",FALSE,IF(ISERROR(-'Kedge P&amp;L, Burn &amp; Runway'!F17&gt;'Kedge P&amp;L, Burn &amp; Runway'!E18),-'Kedge P&amp;L, Burn &amp; Runway'!F17&gt;'Kedge P&amp;L, Burn &amp; Runway'!E18,IF('Kedge P&amp;L, Burn &amp; Runway'!E18="","",-'Kedge P&amp;L, Burn &amp; Runway'!F17&gt;'Kedge P&amp;L, Burn &amp; Runway'!E18))),-'Kedge P&amp;L, Burn &amp; Runway'!F17,IF('Kedge P&amp;L, Burn &amp; Runway'!E18="","",'Kedge P&amp;L, Burn &amp; Runway'!E18))</f>
        <v>0</v>
      </c>
      <c r="G18" s="9">
        <f>IF(IF(IF(ISERROR(-'Kedge P&amp;L, Burn &amp; Runway'!G17&gt;'Kedge P&amp;L, Burn &amp; Runway'!F18),-'Kedge P&amp;L, Burn &amp; Runway'!G17&gt;'Kedge P&amp;L, Burn &amp; Runway'!F18,IF('Kedge P&amp;L, Burn &amp; Runway'!F18="","",-'Kedge P&amp;L, Burn &amp; Runway'!G17&gt;'Kedge P&amp;L, Burn &amp; Runway'!F18))="",FALSE,IF(ISERROR(-'Kedge P&amp;L, Burn &amp; Runway'!G17&gt;'Kedge P&amp;L, Burn &amp; Runway'!F18),-'Kedge P&amp;L, Burn &amp; Runway'!G17&gt;'Kedge P&amp;L, Burn &amp; Runway'!F18,IF('Kedge P&amp;L, Burn &amp; Runway'!F18="","",-'Kedge P&amp;L, Burn &amp; Runway'!G17&gt;'Kedge P&amp;L, Burn &amp; Runway'!F18))),-'Kedge P&amp;L, Burn &amp; Runway'!G17,IF('Kedge P&amp;L, Burn &amp; Runway'!F18="","",'Kedge P&amp;L, Burn &amp; Runway'!F18))</f>
        <v>0</v>
      </c>
      <c r="H18" s="9">
        <f>IF(IF(IF(ISERROR(-'Kedge P&amp;L, Burn &amp; Runway'!H17&gt;'Kedge P&amp;L, Burn &amp; Runway'!G18),-'Kedge P&amp;L, Burn &amp; Runway'!H17&gt;'Kedge P&amp;L, Burn &amp; Runway'!G18,IF('Kedge P&amp;L, Burn &amp; Runway'!G18="","",-'Kedge P&amp;L, Burn &amp; Runway'!H17&gt;'Kedge P&amp;L, Burn &amp; Runway'!G18))="",FALSE,IF(ISERROR(-'Kedge P&amp;L, Burn &amp; Runway'!H17&gt;'Kedge P&amp;L, Burn &amp; Runway'!G18),-'Kedge P&amp;L, Burn &amp; Runway'!H17&gt;'Kedge P&amp;L, Burn &amp; Runway'!G18,IF('Kedge P&amp;L, Burn &amp; Runway'!G18="","",-'Kedge P&amp;L, Burn &amp; Runway'!H17&gt;'Kedge P&amp;L, Burn &amp; Runway'!G18))),-'Kedge P&amp;L, Burn &amp; Runway'!H17,IF('Kedge P&amp;L, Burn &amp; Runway'!G18="","",'Kedge P&amp;L, Burn &amp; Runway'!G18))</f>
        <v>0</v>
      </c>
      <c r="I18" s="9">
        <f>IF(IF(IF(ISERROR(-'Kedge P&amp;L, Burn &amp; Runway'!I17&gt;'Kedge P&amp;L, Burn &amp; Runway'!H18),-'Kedge P&amp;L, Burn &amp; Runway'!I17&gt;'Kedge P&amp;L, Burn &amp; Runway'!H18,IF('Kedge P&amp;L, Burn &amp; Runway'!H18="","",-'Kedge P&amp;L, Burn &amp; Runway'!I17&gt;'Kedge P&amp;L, Burn &amp; Runway'!H18))="",FALSE,IF(ISERROR(-'Kedge P&amp;L, Burn &amp; Runway'!I17&gt;'Kedge P&amp;L, Burn &amp; Runway'!H18),-'Kedge P&amp;L, Burn &amp; Runway'!I17&gt;'Kedge P&amp;L, Burn &amp; Runway'!H18,IF('Kedge P&amp;L, Burn &amp; Runway'!H18="","",-'Kedge P&amp;L, Burn &amp; Runway'!I17&gt;'Kedge P&amp;L, Burn &amp; Runway'!H18))),-'Kedge P&amp;L, Burn &amp; Runway'!I17,IF('Kedge P&amp;L, Burn &amp; Runway'!H18="","",'Kedge P&amp;L, Burn &amp; Runway'!H18))</f>
        <v>0</v>
      </c>
      <c r="J18" s="9">
        <f>IF(IF(IF(ISERROR(-'Kedge P&amp;L, Burn &amp; Runway'!J17&gt;'Kedge P&amp;L, Burn &amp; Runway'!I18),-'Kedge P&amp;L, Burn &amp; Runway'!J17&gt;'Kedge P&amp;L, Burn &amp; Runway'!I18,IF('Kedge P&amp;L, Burn &amp; Runway'!I18="","",-'Kedge P&amp;L, Burn &amp; Runway'!J17&gt;'Kedge P&amp;L, Burn &amp; Runway'!I18))="",FALSE,IF(ISERROR(-'Kedge P&amp;L, Burn &amp; Runway'!J17&gt;'Kedge P&amp;L, Burn &amp; Runway'!I18),-'Kedge P&amp;L, Burn &amp; Runway'!J17&gt;'Kedge P&amp;L, Burn &amp; Runway'!I18,IF('Kedge P&amp;L, Burn &amp; Runway'!I18="","",-'Kedge P&amp;L, Burn &amp; Runway'!J17&gt;'Kedge P&amp;L, Burn &amp; Runway'!I18))),-'Kedge P&amp;L, Burn &amp; Runway'!J17,IF('Kedge P&amp;L, Burn &amp; Runway'!I18="","",'Kedge P&amp;L, Burn &amp; Runway'!I18))</f>
        <v>0</v>
      </c>
      <c r="K18" s="9">
        <f>IF(IF(IF(ISERROR(-'Kedge P&amp;L, Burn &amp; Runway'!K17&gt;'Kedge P&amp;L, Burn &amp; Runway'!J18),-'Kedge P&amp;L, Burn &amp; Runway'!K17&gt;'Kedge P&amp;L, Burn &amp; Runway'!J18,IF('Kedge P&amp;L, Burn &amp; Runway'!J18="","",-'Kedge P&amp;L, Burn &amp; Runway'!K17&gt;'Kedge P&amp;L, Burn &amp; Runway'!J18))="",FALSE,IF(ISERROR(-'Kedge P&amp;L, Burn &amp; Runway'!K17&gt;'Kedge P&amp;L, Burn &amp; Runway'!J18),-'Kedge P&amp;L, Burn &amp; Runway'!K17&gt;'Kedge P&amp;L, Burn &amp; Runway'!J18,IF('Kedge P&amp;L, Burn &amp; Runway'!J18="","",-'Kedge P&amp;L, Burn &amp; Runway'!K17&gt;'Kedge P&amp;L, Burn &amp; Runway'!J18))),-'Kedge P&amp;L, Burn &amp; Runway'!K17,IF('Kedge P&amp;L, Burn &amp; Runway'!J18="","",'Kedge P&amp;L, Burn &amp; Runway'!J18))</f>
        <v>0</v>
      </c>
      <c r="L18" s="9">
        <f>IF(IF(IF(ISERROR(-'Kedge P&amp;L, Burn &amp; Runway'!L17&gt;'Kedge P&amp;L, Burn &amp; Runway'!K18),-'Kedge P&amp;L, Burn &amp; Runway'!L17&gt;'Kedge P&amp;L, Burn &amp; Runway'!K18,IF('Kedge P&amp;L, Burn &amp; Runway'!K18="","",-'Kedge P&amp;L, Burn &amp; Runway'!L17&gt;'Kedge P&amp;L, Burn &amp; Runway'!K18))="",FALSE,IF(ISERROR(-'Kedge P&amp;L, Burn &amp; Runway'!L17&gt;'Kedge P&amp;L, Burn &amp; Runway'!K18),-'Kedge P&amp;L, Burn &amp; Runway'!L17&gt;'Kedge P&amp;L, Burn &amp; Runway'!K18,IF('Kedge P&amp;L, Burn &amp; Runway'!K18="","",-'Kedge P&amp;L, Burn &amp; Runway'!L17&gt;'Kedge P&amp;L, Burn &amp; Runway'!K18))),-'Kedge P&amp;L, Burn &amp; Runway'!L17,IF('Kedge P&amp;L, Burn &amp; Runway'!K18="","",'Kedge P&amp;L, Burn &amp; Runway'!K18))</f>
        <v>0</v>
      </c>
      <c r="M18" s="9">
        <f>IF(IF(IF(ISERROR(-'Kedge P&amp;L, Burn &amp; Runway'!M17&gt;'Kedge P&amp;L, Burn &amp; Runway'!L18),-'Kedge P&amp;L, Burn &amp; Runway'!M17&gt;'Kedge P&amp;L, Burn &amp; Runway'!L18,IF('Kedge P&amp;L, Burn &amp; Runway'!L18="","",-'Kedge P&amp;L, Burn &amp; Runway'!M17&gt;'Kedge P&amp;L, Burn &amp; Runway'!L18))="",FALSE,IF(ISERROR(-'Kedge P&amp;L, Burn &amp; Runway'!M17&gt;'Kedge P&amp;L, Burn &amp; Runway'!L18),-'Kedge P&amp;L, Burn &amp; Runway'!M17&gt;'Kedge P&amp;L, Burn &amp; Runway'!L18,IF('Kedge P&amp;L, Burn &amp; Runway'!L18="","",-'Kedge P&amp;L, Burn &amp; Runway'!M17&gt;'Kedge P&amp;L, Burn &amp; Runway'!L18))),-'Kedge P&amp;L, Burn &amp; Runway'!M17,IF('Kedge P&amp;L, Burn &amp; Runway'!L18="","",'Kedge P&amp;L, Burn &amp; Runway'!L18))</f>
        <v>0</v>
      </c>
      <c r="N18" s="9">
        <f>IF(IF(IF(ISERROR(-'Kedge P&amp;L, Burn &amp; Runway'!N17&gt;'Kedge P&amp;L, Burn &amp; Runway'!M18),-'Kedge P&amp;L, Burn &amp; Runway'!N17&gt;'Kedge P&amp;L, Burn &amp; Runway'!M18,IF('Kedge P&amp;L, Burn &amp; Runway'!M18="","",-'Kedge P&amp;L, Burn &amp; Runway'!N17&gt;'Kedge P&amp;L, Burn &amp; Runway'!M18))="",FALSE,IF(ISERROR(-'Kedge P&amp;L, Burn &amp; Runway'!N17&gt;'Kedge P&amp;L, Burn &amp; Runway'!M18),-'Kedge P&amp;L, Burn &amp; Runway'!N17&gt;'Kedge P&amp;L, Burn &amp; Runway'!M18,IF('Kedge P&amp;L, Burn &amp; Runway'!M18="","",-'Kedge P&amp;L, Burn &amp; Runway'!N17&gt;'Kedge P&amp;L, Burn &amp; Runway'!M18))),-'Kedge P&amp;L, Burn &amp; Runway'!N17,IF('Kedge P&amp;L, Burn &amp; Runway'!M18="","",'Kedge P&amp;L, Burn &amp; Runway'!M18))</f>
        <v>0</v>
      </c>
      <c r="O18" s="9">
        <f>IF(IF(IF(ISERROR(-'Kedge P&amp;L, Burn &amp; Runway'!O17&gt;'Kedge P&amp;L, Burn &amp; Runway'!N18),-'Kedge P&amp;L, Burn &amp; Runway'!O17&gt;'Kedge P&amp;L, Burn &amp; Runway'!N18,IF('Kedge P&amp;L, Burn &amp; Runway'!N18="","",-'Kedge P&amp;L, Burn &amp; Runway'!O17&gt;'Kedge P&amp;L, Burn &amp; Runway'!N18))="",FALSE,IF(ISERROR(-'Kedge P&amp;L, Burn &amp; Runway'!O17&gt;'Kedge P&amp;L, Burn &amp; Runway'!N18),-'Kedge P&amp;L, Burn &amp; Runway'!O17&gt;'Kedge P&amp;L, Burn &amp; Runway'!N18,IF('Kedge P&amp;L, Burn &amp; Runway'!N18="","",-'Kedge P&amp;L, Burn &amp; Runway'!O17&gt;'Kedge P&amp;L, Burn &amp; Runway'!N18))),-'Kedge P&amp;L, Burn &amp; Runway'!O17,IF('Kedge P&amp;L, Burn &amp; Runway'!N18="","",'Kedge P&amp;L, Burn &amp; Runway'!N18))</f>
        <v>0</v>
      </c>
      <c r="P18" s="9">
        <f>IF(IF(IF(ISERROR(-'Kedge P&amp;L, Burn &amp; Runway'!P17&gt;'Kedge P&amp;L, Burn &amp; Runway'!O18),-'Kedge P&amp;L, Burn &amp; Runway'!P17&gt;'Kedge P&amp;L, Burn &amp; Runway'!O18,IF('Kedge P&amp;L, Burn &amp; Runway'!O18="","",-'Kedge P&amp;L, Burn &amp; Runway'!P17&gt;'Kedge P&amp;L, Burn &amp; Runway'!O18))="",FALSE,IF(ISERROR(-'Kedge P&amp;L, Burn &amp; Runway'!P17&gt;'Kedge P&amp;L, Burn &amp; Runway'!O18),-'Kedge P&amp;L, Burn &amp; Runway'!P17&gt;'Kedge P&amp;L, Burn &amp; Runway'!O18,IF('Kedge P&amp;L, Burn &amp; Runway'!O18="","",-'Kedge P&amp;L, Burn &amp; Runway'!P17&gt;'Kedge P&amp;L, Burn &amp; Runway'!O18))),-'Kedge P&amp;L, Burn &amp; Runway'!P17,IF('Kedge P&amp;L, Burn &amp; Runway'!O18="","",'Kedge P&amp;L, Burn &amp; Runway'!O18))</f>
        <v>0</v>
      </c>
      <c r="Q18" s="9">
        <f>IF(IF(IF(ISERROR(-'Kedge P&amp;L, Burn &amp; Runway'!Q17&gt;'Kedge P&amp;L, Burn &amp; Runway'!P18),-'Kedge P&amp;L, Burn &amp; Runway'!Q17&gt;'Kedge P&amp;L, Burn &amp; Runway'!P18,IF('Kedge P&amp;L, Burn &amp; Runway'!P18="","",-'Kedge P&amp;L, Burn &amp; Runway'!Q17&gt;'Kedge P&amp;L, Burn &amp; Runway'!P18))="",FALSE,IF(ISERROR(-'Kedge P&amp;L, Burn &amp; Runway'!Q17&gt;'Kedge P&amp;L, Burn &amp; Runway'!P18),-'Kedge P&amp;L, Burn &amp; Runway'!Q17&gt;'Kedge P&amp;L, Burn &amp; Runway'!P18,IF('Kedge P&amp;L, Burn &amp; Runway'!P18="","",-'Kedge P&amp;L, Burn &amp; Runway'!Q17&gt;'Kedge P&amp;L, Burn &amp; Runway'!P18))),-'Kedge P&amp;L, Burn &amp; Runway'!Q17,IF('Kedge P&amp;L, Burn &amp; Runway'!P18="","",'Kedge P&amp;L, Burn &amp; Runway'!P18))</f>
        <v>0</v>
      </c>
      <c r="R18" s="9">
        <f>IF(IF(IF(ISERROR(-'Kedge P&amp;L, Burn &amp; Runway'!R17&gt;'Kedge P&amp;L, Burn &amp; Runway'!Q18),-'Kedge P&amp;L, Burn &amp; Runway'!R17&gt;'Kedge P&amp;L, Burn &amp; Runway'!Q18,IF('Kedge P&amp;L, Burn &amp; Runway'!Q18="","",-'Kedge P&amp;L, Burn &amp; Runway'!R17&gt;'Kedge P&amp;L, Burn &amp; Runway'!Q18))="",FALSE,IF(ISERROR(-'Kedge P&amp;L, Burn &amp; Runway'!R17&gt;'Kedge P&amp;L, Burn &amp; Runway'!Q18),-'Kedge P&amp;L, Burn &amp; Runway'!R17&gt;'Kedge P&amp;L, Burn &amp; Runway'!Q18,IF('Kedge P&amp;L, Burn &amp; Runway'!Q18="","",-'Kedge P&amp;L, Burn &amp; Runway'!R17&gt;'Kedge P&amp;L, Burn &amp; Runway'!Q18))),-'Kedge P&amp;L, Burn &amp; Runway'!R17,IF('Kedge P&amp;L, Burn &amp; Runway'!Q18="","",'Kedge P&amp;L, Burn &amp; Runway'!Q18))</f>
        <v>0</v>
      </c>
      <c r="S18" s="9">
        <f>IF(IF(IF(ISERROR(-'Kedge P&amp;L, Burn &amp; Runway'!S17&gt;'Kedge P&amp;L, Burn &amp; Runway'!R18),-'Kedge P&amp;L, Burn &amp; Runway'!S17&gt;'Kedge P&amp;L, Burn &amp; Runway'!R18,IF('Kedge P&amp;L, Burn &amp; Runway'!R18="","",-'Kedge P&amp;L, Burn &amp; Runway'!S17&gt;'Kedge P&amp;L, Burn &amp; Runway'!R18))="",FALSE,IF(ISERROR(-'Kedge P&amp;L, Burn &amp; Runway'!S17&gt;'Kedge P&amp;L, Burn &amp; Runway'!R18),-'Kedge P&amp;L, Burn &amp; Runway'!S17&gt;'Kedge P&amp;L, Burn &amp; Runway'!R18,IF('Kedge P&amp;L, Burn &amp; Runway'!R18="","",-'Kedge P&amp;L, Burn &amp; Runway'!S17&gt;'Kedge P&amp;L, Burn &amp; Runway'!R18))),-'Kedge P&amp;L, Burn &amp; Runway'!S17,IF('Kedge P&amp;L, Burn &amp; Runway'!R18="","",'Kedge P&amp;L, Burn &amp; Runway'!R18))</f>
        <v>0</v>
      </c>
      <c r="T18" s="9">
        <f>IF(IF(IF(ISERROR(-'Kedge P&amp;L, Burn &amp; Runway'!T17&gt;'Kedge P&amp;L, Burn &amp; Runway'!S18),-'Kedge P&amp;L, Burn &amp; Runway'!T17&gt;'Kedge P&amp;L, Burn &amp; Runway'!S18,IF('Kedge P&amp;L, Burn &amp; Runway'!S18="","",-'Kedge P&amp;L, Burn &amp; Runway'!T17&gt;'Kedge P&amp;L, Burn &amp; Runway'!S18))="",FALSE,IF(ISERROR(-'Kedge P&amp;L, Burn &amp; Runway'!T17&gt;'Kedge P&amp;L, Burn &amp; Runway'!S18),-'Kedge P&amp;L, Burn &amp; Runway'!T17&gt;'Kedge P&amp;L, Burn &amp; Runway'!S18,IF('Kedge P&amp;L, Burn &amp; Runway'!S18="","",-'Kedge P&amp;L, Burn &amp; Runway'!T17&gt;'Kedge P&amp;L, Burn &amp; Runway'!S18))),-'Kedge P&amp;L, Burn &amp; Runway'!T17,IF('Kedge P&amp;L, Burn &amp; Runway'!S18="","",'Kedge P&amp;L, Burn &amp; Runway'!S18))</f>
        <v>0</v>
      </c>
      <c r="U18" s="9">
        <f>IF(IF(IF(ISERROR(-'Kedge P&amp;L, Burn &amp; Runway'!U17&gt;'Kedge P&amp;L, Burn &amp; Runway'!T18),-'Kedge P&amp;L, Burn &amp; Runway'!U17&gt;'Kedge P&amp;L, Burn &amp; Runway'!T18,IF('Kedge P&amp;L, Burn &amp; Runway'!T18="","",-'Kedge P&amp;L, Burn &amp; Runway'!U17&gt;'Kedge P&amp;L, Burn &amp; Runway'!T18))="",FALSE,IF(ISERROR(-'Kedge P&amp;L, Burn &amp; Runway'!U17&gt;'Kedge P&amp;L, Burn &amp; Runway'!T18),-'Kedge P&amp;L, Burn &amp; Runway'!U17&gt;'Kedge P&amp;L, Burn &amp; Runway'!T18,IF('Kedge P&amp;L, Burn &amp; Runway'!T18="","",-'Kedge P&amp;L, Burn &amp; Runway'!U17&gt;'Kedge P&amp;L, Burn &amp; Runway'!T18))),-'Kedge P&amp;L, Burn &amp; Runway'!U17,IF('Kedge P&amp;L, Burn &amp; Runway'!T18="","",'Kedge P&amp;L, Burn &amp; Runway'!T18))</f>
        <v>0</v>
      </c>
      <c r="V18" s="9">
        <f>IF(IF(IF(ISERROR(-'Kedge P&amp;L, Burn &amp; Runway'!V17&gt;'Kedge P&amp;L, Burn &amp; Runway'!U18),-'Kedge P&amp;L, Burn &amp; Runway'!V17&gt;'Kedge P&amp;L, Burn &amp; Runway'!U18,IF('Kedge P&amp;L, Burn &amp; Runway'!U18="","",-'Kedge P&amp;L, Burn &amp; Runway'!V17&gt;'Kedge P&amp;L, Burn &amp; Runway'!U18))="",FALSE,IF(ISERROR(-'Kedge P&amp;L, Burn &amp; Runway'!V17&gt;'Kedge P&amp;L, Burn &amp; Runway'!U18),-'Kedge P&amp;L, Burn &amp; Runway'!V17&gt;'Kedge P&amp;L, Burn &amp; Runway'!U18,IF('Kedge P&amp;L, Burn &amp; Runway'!U18="","",-'Kedge P&amp;L, Burn &amp; Runway'!V17&gt;'Kedge P&amp;L, Burn &amp; Runway'!U18))),-'Kedge P&amp;L, Burn &amp; Runway'!V17,IF('Kedge P&amp;L, Burn &amp; Runway'!U18="","",'Kedge P&amp;L, Burn &amp; Runway'!U18))</f>
        <v>0</v>
      </c>
      <c r="W18" s="9">
        <f>IF(IF(IF(ISERROR(-'Kedge P&amp;L, Burn &amp; Runway'!W17&gt;'Kedge P&amp;L, Burn &amp; Runway'!V18),-'Kedge P&amp;L, Burn &amp; Runway'!W17&gt;'Kedge P&amp;L, Burn &amp; Runway'!V18,IF('Kedge P&amp;L, Burn &amp; Runway'!V18="","",-'Kedge P&amp;L, Burn &amp; Runway'!W17&gt;'Kedge P&amp;L, Burn &amp; Runway'!V18))="",FALSE,IF(ISERROR(-'Kedge P&amp;L, Burn &amp; Runway'!W17&gt;'Kedge P&amp;L, Burn &amp; Runway'!V18),-'Kedge P&amp;L, Burn &amp; Runway'!W17&gt;'Kedge P&amp;L, Burn &amp; Runway'!V18,IF('Kedge P&amp;L, Burn &amp; Runway'!V18="","",-'Kedge P&amp;L, Burn &amp; Runway'!W17&gt;'Kedge P&amp;L, Burn &amp; Runway'!V18))),-'Kedge P&amp;L, Burn &amp; Runway'!W17,IF('Kedge P&amp;L, Burn &amp; Runway'!V18="","",'Kedge P&amp;L, Burn &amp; Runway'!V18))</f>
        <v>0</v>
      </c>
      <c r="X18" s="9">
        <f>IF(IF(IF(ISERROR(-'Kedge P&amp;L, Burn &amp; Runway'!X17&gt;'Kedge P&amp;L, Burn &amp; Runway'!W18),-'Kedge P&amp;L, Burn &amp; Runway'!X17&gt;'Kedge P&amp;L, Burn &amp; Runway'!W18,IF('Kedge P&amp;L, Burn &amp; Runway'!W18="","",-'Kedge P&amp;L, Burn &amp; Runway'!X17&gt;'Kedge P&amp;L, Burn &amp; Runway'!W18))="",FALSE,IF(ISERROR(-'Kedge P&amp;L, Burn &amp; Runway'!X17&gt;'Kedge P&amp;L, Burn &amp; Runway'!W18),-'Kedge P&amp;L, Burn &amp; Runway'!X17&gt;'Kedge P&amp;L, Burn &amp; Runway'!W18,IF('Kedge P&amp;L, Burn &amp; Runway'!W18="","",-'Kedge P&amp;L, Burn &amp; Runway'!X17&gt;'Kedge P&amp;L, Burn &amp; Runway'!W18))),-'Kedge P&amp;L, Burn &amp; Runway'!X17,IF('Kedge P&amp;L, Burn &amp; Runway'!W18="","",'Kedge P&amp;L, Burn &amp; Runway'!W18))</f>
        <v>0</v>
      </c>
      <c r="Y18" s="9">
        <f>IF(IF(IF(ISERROR(-'Kedge P&amp;L, Burn &amp; Runway'!Y17&gt;'Kedge P&amp;L, Burn &amp; Runway'!X18),-'Kedge P&amp;L, Burn &amp; Runway'!Y17&gt;'Kedge P&amp;L, Burn &amp; Runway'!X18,IF('Kedge P&amp;L, Burn &amp; Runway'!X18="","",-'Kedge P&amp;L, Burn &amp; Runway'!Y17&gt;'Kedge P&amp;L, Burn &amp; Runway'!X18))="",FALSE,IF(ISERROR(-'Kedge P&amp;L, Burn &amp; Runway'!Y17&gt;'Kedge P&amp;L, Burn &amp; Runway'!X18),-'Kedge P&amp;L, Burn &amp; Runway'!Y17&gt;'Kedge P&amp;L, Burn &amp; Runway'!X18,IF('Kedge P&amp;L, Burn &amp; Runway'!X18="","",-'Kedge P&amp;L, Burn &amp; Runway'!Y17&gt;'Kedge P&amp;L, Burn &amp; Runway'!X18))),-'Kedge P&amp;L, Burn &amp; Runway'!Y17,IF('Kedge P&amp;L, Burn &amp; Runway'!X18="","",'Kedge P&amp;L, Burn &amp; Runway'!X18))</f>
        <v>0</v>
      </c>
    </row>
    <row r="19">
      <c r="A19" t="inlineStr" s="6">
        <is>
          <t xml:space="preserve">Runway (months)</t>
        </is>
      </c>
      <c r="B19" t="str" s="15">
        <f>IF(IF(IF(ISERROR('Kedge P&amp;L, Burn &amp; Runway'!B15&gt;0),'Kedge P&amp;L, Burn &amp; Runway'!B15&gt;0,IF('Kedge P&amp;L, Burn &amp; Runway'!B15="","",'Kedge P&amp;L, Burn &amp; Runway'!B15&gt;0))="",FALSE,IF(ISERROR('Kedge P&amp;L, Burn &amp; Runway'!B15&gt;0),'Kedge P&amp;L, Burn &amp; Runway'!B15&gt;0,IF('Kedge P&amp;L, Burn &amp; Runway'!B15="","",'Kedge P&amp;L, Burn &amp; Runway'!B15&gt;0))),IF(IF(IF(ISERROR('Kedge P&amp;L, Burn &amp; Runway'!B17&gt;0),'Kedge P&amp;L, Burn &amp; Runway'!B17&gt;0,IF('Kedge P&amp;L, Burn &amp; Runway'!B17="","",'Kedge P&amp;L, Burn &amp; Runway'!B17&gt;0))="",FALSE,IF(ISERROR('Kedge P&amp;L, Burn &amp; Runway'!B17&gt;0),'Kedge P&amp;L, Burn &amp; Runway'!B17&gt;0,IF('Kedge P&amp;L, Burn &amp; Runway'!B17="","",'Kedge P&amp;L, Burn &amp; Runway'!B17&gt;0))),'Kedge P&amp;L, Burn &amp; Runway'!B17/'Kedge P&amp;L, Burn &amp; Runway'!B15,0),"")</f>
        <v/>
      </c>
      <c r="C19" t="str" s="15">
        <f>IF(IF(IF(ISERROR('Kedge P&amp;L, Burn &amp; Runway'!C15&gt;0),'Kedge P&amp;L, Burn &amp; Runway'!C15&gt;0,IF('Kedge P&amp;L, Burn &amp; Runway'!C15="","",'Kedge P&amp;L, Burn &amp; Runway'!C15&gt;0))="",FALSE,IF(ISERROR('Kedge P&amp;L, Burn &amp; Runway'!C15&gt;0),'Kedge P&amp;L, Burn &amp; Runway'!C15&gt;0,IF('Kedge P&amp;L, Burn &amp; Runway'!C15="","",'Kedge P&amp;L, Burn &amp; Runway'!C15&gt;0))),IF(IF(IF(ISERROR('Kedge P&amp;L, Burn &amp; Runway'!C17&gt;0),'Kedge P&amp;L, Burn &amp; Runway'!C17&gt;0,IF('Kedge P&amp;L, Burn &amp; Runway'!C17="","",'Kedge P&amp;L, Burn &amp; Runway'!C17&gt;0))="",FALSE,IF(ISERROR('Kedge P&amp;L, Burn &amp; Runway'!C17&gt;0),'Kedge P&amp;L, Burn &amp; Runway'!C17&gt;0,IF('Kedge P&amp;L, Burn &amp; Runway'!C17="","",'Kedge P&amp;L, Burn &amp; Runway'!C17&gt;0))),'Kedge P&amp;L, Burn &amp; Runway'!C17/'Kedge P&amp;L, Burn &amp; Runway'!C15,0),"")</f>
        <v/>
      </c>
      <c r="D19" t="str" s="15">
        <f>IF(IF(IF(ISERROR('Kedge P&amp;L, Burn &amp; Runway'!D15&gt;0),'Kedge P&amp;L, Burn &amp; Runway'!D15&gt;0,IF('Kedge P&amp;L, Burn &amp; Runway'!D15="","",'Kedge P&amp;L, Burn &amp; Runway'!D15&gt;0))="",FALSE,IF(ISERROR('Kedge P&amp;L, Burn &amp; Runway'!D15&gt;0),'Kedge P&amp;L, Burn &amp; Runway'!D15&gt;0,IF('Kedge P&amp;L, Burn &amp; Runway'!D15="","",'Kedge P&amp;L, Burn &amp; Runway'!D15&gt;0))),IF(IF(IF(ISERROR('Kedge P&amp;L, Burn &amp; Runway'!D17&gt;0),'Kedge P&amp;L, Burn &amp; Runway'!D17&gt;0,IF('Kedge P&amp;L, Burn &amp; Runway'!D17="","",'Kedge P&amp;L, Burn &amp; Runway'!D17&gt;0))="",FALSE,IF(ISERROR('Kedge P&amp;L, Burn &amp; Runway'!D17&gt;0),'Kedge P&amp;L, Burn &amp; Runway'!D17&gt;0,IF('Kedge P&amp;L, Burn &amp; Runway'!D17="","",'Kedge P&amp;L, Burn &amp; Runway'!D17&gt;0))),'Kedge P&amp;L, Burn &amp; Runway'!D17/'Kedge P&amp;L, Burn &amp; Runway'!D15,0),"")</f>
        <v/>
      </c>
      <c r="E19" t="str" s="15">
        <f>IF(IF(IF(ISERROR('Kedge P&amp;L, Burn &amp; Runway'!E15&gt;0),'Kedge P&amp;L, Burn &amp; Runway'!E15&gt;0,IF('Kedge P&amp;L, Burn &amp; Runway'!E15="","",'Kedge P&amp;L, Burn &amp; Runway'!E15&gt;0))="",FALSE,IF(ISERROR('Kedge P&amp;L, Burn &amp; Runway'!E15&gt;0),'Kedge P&amp;L, Burn &amp; Runway'!E15&gt;0,IF('Kedge P&amp;L, Burn &amp; Runway'!E15="","",'Kedge P&amp;L, Burn &amp; Runway'!E15&gt;0))),IF(IF(IF(ISERROR('Kedge P&amp;L, Burn &amp; Runway'!E17&gt;0),'Kedge P&amp;L, Burn &amp; Runway'!E17&gt;0,IF('Kedge P&amp;L, Burn &amp; Runway'!E17="","",'Kedge P&amp;L, Burn &amp; Runway'!E17&gt;0))="",FALSE,IF(ISERROR('Kedge P&amp;L, Burn &amp; Runway'!E17&gt;0),'Kedge P&amp;L, Burn &amp; Runway'!E17&gt;0,IF('Kedge P&amp;L, Burn &amp; Runway'!E17="","",'Kedge P&amp;L, Burn &amp; Runway'!E17&gt;0))),'Kedge P&amp;L, Burn &amp; Runway'!E17/'Kedge P&amp;L, Burn &amp; Runway'!E15,0),"")</f>
        <v/>
      </c>
      <c r="F19" t="str" s="15">
        <f>IF(IF(IF(ISERROR('Kedge P&amp;L, Burn &amp; Runway'!F15&gt;0),'Kedge P&amp;L, Burn &amp; Runway'!F15&gt;0,IF('Kedge P&amp;L, Burn &amp; Runway'!F15="","",'Kedge P&amp;L, Burn &amp; Runway'!F15&gt;0))="",FALSE,IF(ISERROR('Kedge P&amp;L, Burn &amp; Runway'!F15&gt;0),'Kedge P&amp;L, Burn &amp; Runway'!F15&gt;0,IF('Kedge P&amp;L, Burn &amp; Runway'!F15="","",'Kedge P&amp;L, Burn &amp; Runway'!F15&gt;0))),IF(IF(IF(ISERROR('Kedge P&amp;L, Burn &amp; Runway'!F17&gt;0),'Kedge P&amp;L, Burn &amp; Runway'!F17&gt;0,IF('Kedge P&amp;L, Burn &amp; Runway'!F17="","",'Kedge P&amp;L, Burn &amp; Runway'!F17&gt;0))="",FALSE,IF(ISERROR('Kedge P&amp;L, Burn &amp; Runway'!F17&gt;0),'Kedge P&amp;L, Burn &amp; Runway'!F17&gt;0,IF('Kedge P&amp;L, Burn &amp; Runway'!F17="","",'Kedge P&amp;L, Burn &amp; Runway'!F17&gt;0))),'Kedge P&amp;L, Burn &amp; Runway'!F17/'Kedge P&amp;L, Burn &amp; Runway'!F15,0),"")</f>
        <v/>
      </c>
      <c r="G19" t="str" s="15">
        <f>IF(IF(IF(ISERROR('Kedge P&amp;L, Burn &amp; Runway'!G15&gt;0),'Kedge P&amp;L, Burn &amp; Runway'!G15&gt;0,IF('Kedge P&amp;L, Burn &amp; Runway'!G15="","",'Kedge P&amp;L, Burn &amp; Runway'!G15&gt;0))="",FALSE,IF(ISERROR('Kedge P&amp;L, Burn &amp; Runway'!G15&gt;0),'Kedge P&amp;L, Burn &amp; Runway'!G15&gt;0,IF('Kedge P&amp;L, Burn &amp; Runway'!G15="","",'Kedge P&amp;L, Burn &amp; Runway'!G15&gt;0))),IF(IF(IF(ISERROR('Kedge P&amp;L, Burn &amp; Runway'!G17&gt;0),'Kedge P&amp;L, Burn &amp; Runway'!G17&gt;0,IF('Kedge P&amp;L, Burn &amp; Runway'!G17="","",'Kedge P&amp;L, Burn &amp; Runway'!G17&gt;0))="",FALSE,IF(ISERROR('Kedge P&amp;L, Burn &amp; Runway'!G17&gt;0),'Kedge P&amp;L, Burn &amp; Runway'!G17&gt;0,IF('Kedge P&amp;L, Burn &amp; Runway'!G17="","",'Kedge P&amp;L, Burn &amp; Runway'!G17&gt;0))),'Kedge P&amp;L, Burn &amp; Runway'!G17/'Kedge P&amp;L, Burn &amp; Runway'!G15,0),"")</f>
        <v/>
      </c>
      <c r="H19" t="str" s="15">
        <f>IF(IF(IF(ISERROR('Kedge P&amp;L, Burn &amp; Runway'!H15&gt;0),'Kedge P&amp;L, Burn &amp; Runway'!H15&gt;0,IF('Kedge P&amp;L, Burn &amp; Runway'!H15="","",'Kedge P&amp;L, Burn &amp; Runway'!H15&gt;0))="",FALSE,IF(ISERROR('Kedge P&amp;L, Burn &amp; Runway'!H15&gt;0),'Kedge P&amp;L, Burn &amp; Runway'!H15&gt;0,IF('Kedge P&amp;L, Burn &amp; Runway'!H15="","",'Kedge P&amp;L, Burn &amp; Runway'!H15&gt;0))),IF(IF(IF(ISERROR('Kedge P&amp;L, Burn &amp; Runway'!H17&gt;0),'Kedge P&amp;L, Burn &amp; Runway'!H17&gt;0,IF('Kedge P&amp;L, Burn &amp; Runway'!H17="","",'Kedge P&amp;L, Burn &amp; Runway'!H17&gt;0))="",FALSE,IF(ISERROR('Kedge P&amp;L, Burn &amp; Runway'!H17&gt;0),'Kedge P&amp;L, Burn &amp; Runway'!H17&gt;0,IF('Kedge P&amp;L, Burn &amp; Runway'!H17="","",'Kedge P&amp;L, Burn &amp; Runway'!H17&gt;0))),'Kedge P&amp;L, Burn &amp; Runway'!H17/'Kedge P&amp;L, Burn &amp; Runway'!H15,0),"")</f>
        <v/>
      </c>
      <c r="I19" t="str" s="15">
        <f>IF(IF(IF(ISERROR('Kedge P&amp;L, Burn &amp; Runway'!I15&gt;0),'Kedge P&amp;L, Burn &amp; Runway'!I15&gt;0,IF('Kedge P&amp;L, Burn &amp; Runway'!I15="","",'Kedge P&amp;L, Burn &amp; Runway'!I15&gt;0))="",FALSE,IF(ISERROR('Kedge P&amp;L, Burn &amp; Runway'!I15&gt;0),'Kedge P&amp;L, Burn &amp; Runway'!I15&gt;0,IF('Kedge P&amp;L, Burn &amp; Runway'!I15="","",'Kedge P&amp;L, Burn &amp; Runway'!I15&gt;0))),IF(IF(IF(ISERROR('Kedge P&amp;L, Burn &amp; Runway'!I17&gt;0),'Kedge P&amp;L, Burn &amp; Runway'!I17&gt;0,IF('Kedge P&amp;L, Burn &amp; Runway'!I17="","",'Kedge P&amp;L, Burn &amp; Runway'!I17&gt;0))="",FALSE,IF(ISERROR('Kedge P&amp;L, Burn &amp; Runway'!I17&gt;0),'Kedge P&amp;L, Burn &amp; Runway'!I17&gt;0,IF('Kedge P&amp;L, Burn &amp; Runway'!I17="","",'Kedge P&amp;L, Burn &amp; Runway'!I17&gt;0))),'Kedge P&amp;L, Burn &amp; Runway'!I17/'Kedge P&amp;L, Burn &amp; Runway'!I15,0),"")</f>
        <v/>
      </c>
      <c r="J19" t="str" s="15">
        <f>IF(IF(IF(ISERROR('Kedge P&amp;L, Burn &amp; Runway'!J15&gt;0),'Kedge P&amp;L, Burn &amp; Runway'!J15&gt;0,IF('Kedge P&amp;L, Burn &amp; Runway'!J15="","",'Kedge P&amp;L, Burn &amp; Runway'!J15&gt;0))="",FALSE,IF(ISERROR('Kedge P&amp;L, Burn &amp; Runway'!J15&gt;0),'Kedge P&amp;L, Burn &amp; Runway'!J15&gt;0,IF('Kedge P&amp;L, Burn &amp; Runway'!J15="","",'Kedge P&amp;L, Burn &amp; Runway'!J15&gt;0))),IF(IF(IF(ISERROR('Kedge P&amp;L, Burn &amp; Runway'!J17&gt;0),'Kedge P&amp;L, Burn &amp; Runway'!J17&gt;0,IF('Kedge P&amp;L, Burn &amp; Runway'!J17="","",'Kedge P&amp;L, Burn &amp; Runway'!J17&gt;0))="",FALSE,IF(ISERROR('Kedge P&amp;L, Burn &amp; Runway'!J17&gt;0),'Kedge P&amp;L, Burn &amp; Runway'!J17&gt;0,IF('Kedge P&amp;L, Burn &amp; Runway'!J17="","",'Kedge P&amp;L, Burn &amp; Runway'!J17&gt;0))),'Kedge P&amp;L, Burn &amp; Runway'!J17/'Kedge P&amp;L, Burn &amp; Runway'!J15,0),"")</f>
        <v/>
      </c>
      <c r="K19" t="str" s="15">
        <f>IF(IF(IF(ISERROR('Kedge P&amp;L, Burn &amp; Runway'!K15&gt;0),'Kedge P&amp;L, Burn &amp; Runway'!K15&gt;0,IF('Kedge P&amp;L, Burn &amp; Runway'!K15="","",'Kedge P&amp;L, Burn &amp; Runway'!K15&gt;0))="",FALSE,IF(ISERROR('Kedge P&amp;L, Burn &amp; Runway'!K15&gt;0),'Kedge P&amp;L, Burn &amp; Runway'!K15&gt;0,IF('Kedge P&amp;L, Burn &amp; Runway'!K15="","",'Kedge P&amp;L, Burn &amp; Runway'!K15&gt;0))),IF(IF(IF(ISERROR('Kedge P&amp;L, Burn &amp; Runway'!K17&gt;0),'Kedge P&amp;L, Burn &amp; Runway'!K17&gt;0,IF('Kedge P&amp;L, Burn &amp; Runway'!K17="","",'Kedge P&amp;L, Burn &amp; Runway'!K17&gt;0))="",FALSE,IF(ISERROR('Kedge P&amp;L, Burn &amp; Runway'!K17&gt;0),'Kedge P&amp;L, Burn &amp; Runway'!K17&gt;0,IF('Kedge P&amp;L, Burn &amp; Runway'!K17="","",'Kedge P&amp;L, Burn &amp; Runway'!K17&gt;0))),'Kedge P&amp;L, Burn &amp; Runway'!K17/'Kedge P&amp;L, Burn &amp; Runway'!K15,0),"")</f>
        <v/>
      </c>
      <c r="L19" t="str" s="15">
        <f>IF(IF(IF(ISERROR('Kedge P&amp;L, Burn &amp; Runway'!L15&gt;0),'Kedge P&amp;L, Burn &amp; Runway'!L15&gt;0,IF('Kedge P&amp;L, Burn &amp; Runway'!L15="","",'Kedge P&amp;L, Burn &amp; Runway'!L15&gt;0))="",FALSE,IF(ISERROR('Kedge P&amp;L, Burn &amp; Runway'!L15&gt;0),'Kedge P&amp;L, Burn &amp; Runway'!L15&gt;0,IF('Kedge P&amp;L, Burn &amp; Runway'!L15="","",'Kedge P&amp;L, Burn &amp; Runway'!L15&gt;0))),IF(IF(IF(ISERROR('Kedge P&amp;L, Burn &amp; Runway'!L17&gt;0),'Kedge P&amp;L, Burn &amp; Runway'!L17&gt;0,IF('Kedge P&amp;L, Burn &amp; Runway'!L17="","",'Kedge P&amp;L, Burn &amp; Runway'!L17&gt;0))="",FALSE,IF(ISERROR('Kedge P&amp;L, Burn &amp; Runway'!L17&gt;0),'Kedge P&amp;L, Burn &amp; Runway'!L17&gt;0,IF('Kedge P&amp;L, Burn &amp; Runway'!L17="","",'Kedge P&amp;L, Burn &amp; Runway'!L17&gt;0))),'Kedge P&amp;L, Burn &amp; Runway'!L17/'Kedge P&amp;L, Burn &amp; Runway'!L15,0),"")</f>
        <v/>
      </c>
      <c r="M19" t="str" s="15">
        <f>IF(IF(IF(ISERROR('Kedge P&amp;L, Burn &amp; Runway'!M15&gt;0),'Kedge P&amp;L, Burn &amp; Runway'!M15&gt;0,IF('Kedge P&amp;L, Burn &amp; Runway'!M15="","",'Kedge P&amp;L, Burn &amp; Runway'!M15&gt;0))="",FALSE,IF(ISERROR('Kedge P&amp;L, Burn &amp; Runway'!M15&gt;0),'Kedge P&amp;L, Burn &amp; Runway'!M15&gt;0,IF('Kedge P&amp;L, Burn &amp; Runway'!M15="","",'Kedge P&amp;L, Burn &amp; Runway'!M15&gt;0))),IF(IF(IF(ISERROR('Kedge P&amp;L, Burn &amp; Runway'!M17&gt;0),'Kedge P&amp;L, Burn &amp; Runway'!M17&gt;0,IF('Kedge P&amp;L, Burn &amp; Runway'!M17="","",'Kedge P&amp;L, Burn &amp; Runway'!M17&gt;0))="",FALSE,IF(ISERROR('Kedge P&amp;L, Burn &amp; Runway'!M17&gt;0),'Kedge P&amp;L, Burn &amp; Runway'!M17&gt;0,IF('Kedge P&amp;L, Burn &amp; Runway'!M17="","",'Kedge P&amp;L, Burn &amp; Runway'!M17&gt;0))),'Kedge P&amp;L, Burn &amp; Runway'!M17/'Kedge P&amp;L, Burn &amp; Runway'!M15,0),"")</f>
        <v/>
      </c>
      <c r="N19" t="str" s="15">
        <f>IF(IF(IF(ISERROR('Kedge P&amp;L, Burn &amp; Runway'!N15&gt;0),'Kedge P&amp;L, Burn &amp; Runway'!N15&gt;0,IF('Kedge P&amp;L, Burn &amp; Runway'!N15="","",'Kedge P&amp;L, Burn &amp; Runway'!N15&gt;0))="",FALSE,IF(ISERROR('Kedge P&amp;L, Burn &amp; Runway'!N15&gt;0),'Kedge P&amp;L, Burn &amp; Runway'!N15&gt;0,IF('Kedge P&amp;L, Burn &amp; Runway'!N15="","",'Kedge P&amp;L, Burn &amp; Runway'!N15&gt;0))),IF(IF(IF(ISERROR('Kedge P&amp;L, Burn &amp; Runway'!N17&gt;0),'Kedge P&amp;L, Burn &amp; Runway'!N17&gt;0,IF('Kedge P&amp;L, Burn &amp; Runway'!N17="","",'Kedge P&amp;L, Burn &amp; Runway'!N17&gt;0))="",FALSE,IF(ISERROR('Kedge P&amp;L, Burn &amp; Runway'!N17&gt;0),'Kedge P&amp;L, Burn &amp; Runway'!N17&gt;0,IF('Kedge P&amp;L, Burn &amp; Runway'!N17="","",'Kedge P&amp;L, Burn &amp; Runway'!N17&gt;0))),'Kedge P&amp;L, Burn &amp; Runway'!N17/'Kedge P&amp;L, Burn &amp; Runway'!N15,0),"")</f>
        <v/>
      </c>
      <c r="O19" t="str" s="15">
        <f>IF(IF(IF(ISERROR('Kedge P&amp;L, Burn &amp; Runway'!O15&gt;0),'Kedge P&amp;L, Burn &amp; Runway'!O15&gt;0,IF('Kedge P&amp;L, Burn &amp; Runway'!O15="","",'Kedge P&amp;L, Burn &amp; Runway'!O15&gt;0))="",FALSE,IF(ISERROR('Kedge P&amp;L, Burn &amp; Runway'!O15&gt;0),'Kedge P&amp;L, Burn &amp; Runway'!O15&gt;0,IF('Kedge P&amp;L, Burn &amp; Runway'!O15="","",'Kedge P&amp;L, Burn &amp; Runway'!O15&gt;0))),IF(IF(IF(ISERROR('Kedge P&amp;L, Burn &amp; Runway'!O17&gt;0),'Kedge P&amp;L, Burn &amp; Runway'!O17&gt;0,IF('Kedge P&amp;L, Burn &amp; Runway'!O17="","",'Kedge P&amp;L, Burn &amp; Runway'!O17&gt;0))="",FALSE,IF(ISERROR('Kedge P&amp;L, Burn &amp; Runway'!O17&gt;0),'Kedge P&amp;L, Burn &amp; Runway'!O17&gt;0,IF('Kedge P&amp;L, Burn &amp; Runway'!O17="","",'Kedge P&amp;L, Burn &amp; Runway'!O17&gt;0))),'Kedge P&amp;L, Burn &amp; Runway'!O17/'Kedge P&amp;L, Burn &amp; Runway'!O15,0),"")</f>
        <v/>
      </c>
      <c r="P19" t="str" s="15">
        <f>IF(IF(IF(ISERROR('Kedge P&amp;L, Burn &amp; Runway'!P15&gt;0),'Kedge P&amp;L, Burn &amp; Runway'!P15&gt;0,IF('Kedge P&amp;L, Burn &amp; Runway'!P15="","",'Kedge P&amp;L, Burn &amp; Runway'!P15&gt;0))="",FALSE,IF(ISERROR('Kedge P&amp;L, Burn &amp; Runway'!P15&gt;0),'Kedge P&amp;L, Burn &amp; Runway'!P15&gt;0,IF('Kedge P&amp;L, Burn &amp; Runway'!P15="","",'Kedge P&amp;L, Burn &amp; Runway'!P15&gt;0))),IF(IF(IF(ISERROR('Kedge P&amp;L, Burn &amp; Runway'!P17&gt;0),'Kedge P&amp;L, Burn &amp; Runway'!P17&gt;0,IF('Kedge P&amp;L, Burn &amp; Runway'!P17="","",'Kedge P&amp;L, Burn &amp; Runway'!P17&gt;0))="",FALSE,IF(ISERROR('Kedge P&amp;L, Burn &amp; Runway'!P17&gt;0),'Kedge P&amp;L, Burn &amp; Runway'!P17&gt;0,IF('Kedge P&amp;L, Burn &amp; Runway'!P17="","",'Kedge P&amp;L, Burn &amp; Runway'!P17&gt;0))),'Kedge P&amp;L, Burn &amp; Runway'!P17/'Kedge P&amp;L, Burn &amp; Runway'!P15,0),"")</f>
        <v/>
      </c>
      <c r="Q19" t="str" s="15">
        <f>IF(IF(IF(ISERROR('Kedge P&amp;L, Burn &amp; Runway'!Q15&gt;0),'Kedge P&amp;L, Burn &amp; Runway'!Q15&gt;0,IF('Kedge P&amp;L, Burn &amp; Runway'!Q15="","",'Kedge P&amp;L, Burn &amp; Runway'!Q15&gt;0))="",FALSE,IF(ISERROR('Kedge P&amp;L, Burn &amp; Runway'!Q15&gt;0),'Kedge P&amp;L, Burn &amp; Runway'!Q15&gt;0,IF('Kedge P&amp;L, Burn &amp; Runway'!Q15="","",'Kedge P&amp;L, Burn &amp; Runway'!Q15&gt;0))),IF(IF(IF(ISERROR('Kedge P&amp;L, Burn &amp; Runway'!Q17&gt;0),'Kedge P&amp;L, Burn &amp; Runway'!Q17&gt;0,IF('Kedge P&amp;L, Burn &amp; Runway'!Q17="","",'Kedge P&amp;L, Burn &amp; Runway'!Q17&gt;0))="",FALSE,IF(ISERROR('Kedge P&amp;L, Burn &amp; Runway'!Q17&gt;0),'Kedge P&amp;L, Burn &amp; Runway'!Q17&gt;0,IF('Kedge P&amp;L, Burn &amp; Runway'!Q17="","",'Kedge P&amp;L, Burn &amp; Runway'!Q17&gt;0))),'Kedge P&amp;L, Burn &amp; Runway'!Q17/'Kedge P&amp;L, Burn &amp; Runway'!Q15,0),"")</f>
        <v/>
      </c>
      <c r="R19" t="str" s="15">
        <f>IF(IF(IF(ISERROR('Kedge P&amp;L, Burn &amp; Runway'!R15&gt;0),'Kedge P&amp;L, Burn &amp; Runway'!R15&gt;0,IF('Kedge P&amp;L, Burn &amp; Runway'!R15="","",'Kedge P&amp;L, Burn &amp; Runway'!R15&gt;0))="",FALSE,IF(ISERROR('Kedge P&amp;L, Burn &amp; Runway'!R15&gt;0),'Kedge P&amp;L, Burn &amp; Runway'!R15&gt;0,IF('Kedge P&amp;L, Burn &amp; Runway'!R15="","",'Kedge P&amp;L, Burn &amp; Runway'!R15&gt;0))),IF(IF(IF(ISERROR('Kedge P&amp;L, Burn &amp; Runway'!R17&gt;0),'Kedge P&amp;L, Burn &amp; Runway'!R17&gt;0,IF('Kedge P&amp;L, Burn &amp; Runway'!R17="","",'Kedge P&amp;L, Burn &amp; Runway'!R17&gt;0))="",FALSE,IF(ISERROR('Kedge P&amp;L, Burn &amp; Runway'!R17&gt;0),'Kedge P&amp;L, Burn &amp; Runway'!R17&gt;0,IF('Kedge P&amp;L, Burn &amp; Runway'!R17="","",'Kedge P&amp;L, Burn &amp; Runway'!R17&gt;0))),'Kedge P&amp;L, Burn &amp; Runway'!R17/'Kedge P&amp;L, Burn &amp; Runway'!R15,0),"")</f>
        <v/>
      </c>
      <c r="S19" t="str" s="15">
        <f>IF(IF(IF(ISERROR('Kedge P&amp;L, Burn &amp; Runway'!S15&gt;0),'Kedge P&amp;L, Burn &amp; Runway'!S15&gt;0,IF('Kedge P&amp;L, Burn &amp; Runway'!S15="","",'Kedge P&amp;L, Burn &amp; Runway'!S15&gt;0))="",FALSE,IF(ISERROR('Kedge P&amp;L, Burn &amp; Runway'!S15&gt;0),'Kedge P&amp;L, Burn &amp; Runway'!S15&gt;0,IF('Kedge P&amp;L, Burn &amp; Runway'!S15="","",'Kedge P&amp;L, Burn &amp; Runway'!S15&gt;0))),IF(IF(IF(ISERROR('Kedge P&amp;L, Burn &amp; Runway'!S17&gt;0),'Kedge P&amp;L, Burn &amp; Runway'!S17&gt;0,IF('Kedge P&amp;L, Burn &amp; Runway'!S17="","",'Kedge P&amp;L, Burn &amp; Runway'!S17&gt;0))="",FALSE,IF(ISERROR('Kedge P&amp;L, Burn &amp; Runway'!S17&gt;0),'Kedge P&amp;L, Burn &amp; Runway'!S17&gt;0,IF('Kedge P&amp;L, Burn &amp; Runway'!S17="","",'Kedge P&amp;L, Burn &amp; Runway'!S17&gt;0))),'Kedge P&amp;L, Burn &amp; Runway'!S17/'Kedge P&amp;L, Burn &amp; Runway'!S15,0),"")</f>
        <v/>
      </c>
      <c r="T19" t="str" s="15">
        <f>IF(IF(IF(ISERROR('Kedge P&amp;L, Burn &amp; Runway'!T15&gt;0),'Kedge P&amp;L, Burn &amp; Runway'!T15&gt;0,IF('Kedge P&amp;L, Burn &amp; Runway'!T15="","",'Kedge P&amp;L, Burn &amp; Runway'!T15&gt;0))="",FALSE,IF(ISERROR('Kedge P&amp;L, Burn &amp; Runway'!T15&gt;0),'Kedge P&amp;L, Burn &amp; Runway'!T15&gt;0,IF('Kedge P&amp;L, Burn &amp; Runway'!T15="","",'Kedge P&amp;L, Burn &amp; Runway'!T15&gt;0))),IF(IF(IF(ISERROR('Kedge P&amp;L, Burn &amp; Runway'!T17&gt;0),'Kedge P&amp;L, Burn &amp; Runway'!T17&gt;0,IF('Kedge P&amp;L, Burn &amp; Runway'!T17="","",'Kedge P&amp;L, Burn &amp; Runway'!T17&gt;0))="",FALSE,IF(ISERROR('Kedge P&amp;L, Burn &amp; Runway'!T17&gt;0),'Kedge P&amp;L, Burn &amp; Runway'!T17&gt;0,IF('Kedge P&amp;L, Burn &amp; Runway'!T17="","",'Kedge P&amp;L, Burn &amp; Runway'!T17&gt;0))),'Kedge P&amp;L, Burn &amp; Runway'!T17/'Kedge P&amp;L, Burn &amp; Runway'!T15,0),"")</f>
        <v/>
      </c>
      <c r="U19" t="str" s="15">
        <f>IF(IF(IF(ISERROR('Kedge P&amp;L, Burn &amp; Runway'!U15&gt;0),'Kedge P&amp;L, Burn &amp; Runway'!U15&gt;0,IF('Kedge P&amp;L, Burn &amp; Runway'!U15="","",'Kedge P&amp;L, Burn &amp; Runway'!U15&gt;0))="",FALSE,IF(ISERROR('Kedge P&amp;L, Burn &amp; Runway'!U15&gt;0),'Kedge P&amp;L, Burn &amp; Runway'!U15&gt;0,IF('Kedge P&amp;L, Burn &amp; Runway'!U15="","",'Kedge P&amp;L, Burn &amp; Runway'!U15&gt;0))),IF(IF(IF(ISERROR('Kedge P&amp;L, Burn &amp; Runway'!U17&gt;0),'Kedge P&amp;L, Burn &amp; Runway'!U17&gt;0,IF('Kedge P&amp;L, Burn &amp; Runway'!U17="","",'Kedge P&amp;L, Burn &amp; Runway'!U17&gt;0))="",FALSE,IF(ISERROR('Kedge P&amp;L, Burn &amp; Runway'!U17&gt;0),'Kedge P&amp;L, Burn &amp; Runway'!U17&gt;0,IF('Kedge P&amp;L, Burn &amp; Runway'!U17="","",'Kedge P&amp;L, Burn &amp; Runway'!U17&gt;0))),'Kedge P&amp;L, Burn &amp; Runway'!U17/'Kedge P&amp;L, Burn &amp; Runway'!U15,0),"")</f>
        <v/>
      </c>
      <c r="V19" t="str" s="15">
        <f>IF(IF(IF(ISERROR('Kedge P&amp;L, Burn &amp; Runway'!V15&gt;0),'Kedge P&amp;L, Burn &amp; Runway'!V15&gt;0,IF('Kedge P&amp;L, Burn &amp; Runway'!V15="","",'Kedge P&amp;L, Burn &amp; Runway'!V15&gt;0))="",FALSE,IF(ISERROR('Kedge P&amp;L, Burn &amp; Runway'!V15&gt;0),'Kedge P&amp;L, Burn &amp; Runway'!V15&gt;0,IF('Kedge P&amp;L, Burn &amp; Runway'!V15="","",'Kedge P&amp;L, Burn &amp; Runway'!V15&gt;0))),IF(IF(IF(ISERROR('Kedge P&amp;L, Burn &amp; Runway'!V17&gt;0),'Kedge P&amp;L, Burn &amp; Runway'!V17&gt;0,IF('Kedge P&amp;L, Burn &amp; Runway'!V17="","",'Kedge P&amp;L, Burn &amp; Runway'!V17&gt;0))="",FALSE,IF(ISERROR('Kedge P&amp;L, Burn &amp; Runway'!V17&gt;0),'Kedge P&amp;L, Burn &amp; Runway'!V17&gt;0,IF('Kedge P&amp;L, Burn &amp; Runway'!V17="","",'Kedge P&amp;L, Burn &amp; Runway'!V17&gt;0))),'Kedge P&amp;L, Burn &amp; Runway'!V17/'Kedge P&amp;L, Burn &amp; Runway'!V15,0),"")</f>
        <v/>
      </c>
      <c r="W19" t="str" s="15">
        <f>IF(IF(IF(ISERROR('Kedge P&amp;L, Burn &amp; Runway'!W15&gt;0),'Kedge P&amp;L, Burn &amp; Runway'!W15&gt;0,IF('Kedge P&amp;L, Burn &amp; Runway'!W15="","",'Kedge P&amp;L, Burn &amp; Runway'!W15&gt;0))="",FALSE,IF(ISERROR('Kedge P&amp;L, Burn &amp; Runway'!W15&gt;0),'Kedge P&amp;L, Burn &amp; Runway'!W15&gt;0,IF('Kedge P&amp;L, Burn &amp; Runway'!W15="","",'Kedge P&amp;L, Burn &amp; Runway'!W15&gt;0))),IF(IF(IF(ISERROR('Kedge P&amp;L, Burn &amp; Runway'!W17&gt;0),'Kedge P&amp;L, Burn &amp; Runway'!W17&gt;0,IF('Kedge P&amp;L, Burn &amp; Runway'!W17="","",'Kedge P&amp;L, Burn &amp; Runway'!W17&gt;0))="",FALSE,IF(ISERROR('Kedge P&amp;L, Burn &amp; Runway'!W17&gt;0),'Kedge P&amp;L, Burn &amp; Runway'!W17&gt;0,IF('Kedge P&amp;L, Burn &amp; Runway'!W17="","",'Kedge P&amp;L, Burn &amp; Runway'!W17&gt;0))),'Kedge P&amp;L, Burn &amp; Runway'!W17/'Kedge P&amp;L, Burn &amp; Runway'!W15,0),"")</f>
        <v/>
      </c>
      <c r="X19" t="str" s="15">
        <f>IF(IF(IF(ISERROR('Kedge P&amp;L, Burn &amp; Runway'!X15&gt;0),'Kedge P&amp;L, Burn &amp; Runway'!X15&gt;0,IF('Kedge P&amp;L, Burn &amp; Runway'!X15="","",'Kedge P&amp;L, Burn &amp; Runway'!X15&gt;0))="",FALSE,IF(ISERROR('Kedge P&amp;L, Burn &amp; Runway'!X15&gt;0),'Kedge P&amp;L, Burn &amp; Runway'!X15&gt;0,IF('Kedge P&amp;L, Burn &amp; Runway'!X15="","",'Kedge P&amp;L, Burn &amp; Runway'!X15&gt;0))),IF(IF(IF(ISERROR('Kedge P&amp;L, Burn &amp; Runway'!X17&gt;0),'Kedge P&amp;L, Burn &amp; Runway'!X17&gt;0,IF('Kedge P&amp;L, Burn &amp; Runway'!X17="","",'Kedge P&amp;L, Burn &amp; Runway'!X17&gt;0))="",FALSE,IF(ISERROR('Kedge P&amp;L, Burn &amp; Runway'!X17&gt;0),'Kedge P&amp;L, Burn &amp; Runway'!X17&gt;0,IF('Kedge P&amp;L, Burn &amp; Runway'!X17="","",'Kedge P&amp;L, Burn &amp; Runway'!X17&gt;0))),'Kedge P&amp;L, Burn &amp; Runway'!X17/'Kedge P&amp;L, Burn &amp; Runway'!X15,0),"")</f>
        <v/>
      </c>
      <c r="Y19" t="str" s="15">
        <f>IF(IF(IF(ISERROR('Kedge P&amp;L, Burn &amp; Runway'!Y15&gt;0),'Kedge P&amp;L, Burn &amp; Runway'!Y15&gt;0,IF('Kedge P&amp;L, Burn &amp; Runway'!Y15="","",'Kedge P&amp;L, Burn &amp; Runway'!Y15&gt;0))="",FALSE,IF(ISERROR('Kedge P&amp;L, Burn &amp; Runway'!Y15&gt;0),'Kedge P&amp;L, Burn &amp; Runway'!Y15&gt;0,IF('Kedge P&amp;L, Burn &amp; Runway'!Y15="","",'Kedge P&amp;L, Burn &amp; Runway'!Y15&gt;0))),IF(IF(IF(ISERROR('Kedge P&amp;L, Burn &amp; Runway'!Y17&gt;0),'Kedge P&amp;L, Burn &amp; Runway'!Y17&gt;0,IF('Kedge P&amp;L, Burn &amp; Runway'!Y17="","",'Kedge P&amp;L, Burn &amp; Runway'!Y17&gt;0))="",FALSE,IF(ISERROR('Kedge P&amp;L, Burn &amp; Runway'!Y17&gt;0),'Kedge P&amp;L, Burn &amp; Runway'!Y17&gt;0,IF('Kedge P&amp;L, Burn &amp; Runway'!Y17="","",'Kedge P&amp;L, Burn &amp; Runway'!Y17&gt;0))),'Kedge P&amp;L, Burn &amp; Runway'!Y17/'Kedge P&amp;L, Burn &amp; Runway'!Y15,0),"")</f>
        <v/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AI36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6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4">
        <is>
          <t xml:space="preserve">2027-10</t>
        </is>
      </c>
      <c r="P5" t="inlineStr" s="5">
        <is>
          <t xml:space="preserve">2027-11</t>
        </is>
      </c>
      <c r="Q5" t="inlineStr" s="5">
        <is>
          <t xml:space="preserve">2027-12</t>
        </is>
      </c>
      <c r="R5" t="inlineStr" s="4">
        <is>
          <t xml:space="preserve">2028-01</t>
        </is>
      </c>
      <c r="S5" t="inlineStr" s="5">
        <is>
          <t xml:space="preserve">2028-02</t>
        </is>
      </c>
      <c r="T5" t="inlineStr" s="5">
        <is>
          <t xml:space="preserve">2028-03</t>
        </is>
      </c>
      <c r="U5" t="inlineStr" s="4">
        <is>
          <t xml:space="preserve">2028-04</t>
        </is>
      </c>
      <c r="V5" t="inlineStr" s="5">
        <is>
          <t xml:space="preserve">2028-05</t>
        </is>
      </c>
      <c r="W5" t="inlineStr" s="5">
        <is>
          <t xml:space="preserve">2028-06</t>
        </is>
      </c>
      <c r="X5" t="inlineStr" s="4">
        <is>
          <t xml:space="preserve">2028-07</t>
        </is>
      </c>
      <c r="Y5" t="inlineStr" s="5">
        <is>
          <t xml:space="preserve">2028-08</t>
        </is>
      </c>
      <c r="Z5" t="inlineStr" s="5">
        <is>
          <t xml:space="preserve">2028-09</t>
        </is>
      </c>
      <c r="AA5" t="inlineStr" s="5">
        <is>
          <t xml:space="preserve">Value</t>
        </is>
      </c>
      <c r="AB5" t="inlineStr" s="4">
        <is>
          <t xml:space="preserve">2026-01</t>
        </is>
      </c>
      <c r="AC5" t="inlineStr" s="5">
        <is>
          <t xml:space="preserve">2026-02</t>
        </is>
      </c>
      <c r="AD5" t="inlineStr" s="5">
        <is>
          <t xml:space="preserve">2026-03</t>
        </is>
      </c>
      <c r="AE5" t="inlineStr" s="4">
        <is>
          <t xml:space="preserve">2026-04</t>
        </is>
      </c>
      <c r="AF5" t="inlineStr" s="5">
        <is>
          <t xml:space="preserve">2026-05</t>
        </is>
      </c>
      <c r="AG5" t="inlineStr" s="5">
        <is>
          <t xml:space="preserve">2026-06</t>
        </is>
      </c>
      <c r="AH5" t="inlineStr" s="4">
        <is>
          <t xml:space="preserve">2026-07</t>
        </is>
      </c>
      <c r="AI5" t="inlineStr" s="5">
        <is>
          <t xml:space="preserve">2026-08</t>
        </is>
      </c>
    </row>
    <row r="6">
      <c r="A6" t="inlineStr" s="17">
        <is>
          <t xml:space="preserve">AI model costs</t>
        </is>
      </c>
      <c r="B6" s="18">
        <v>0</v>
      </c>
      <c r="C6" s="18">
        <f>'Model inputs'!C14*'Model inputs'!AA16</f>
        <v>40.5</v>
      </c>
      <c r="D6" s="18">
        <f>'Model inputs'!D14*'Model inputs'!AA16</f>
        <v>133.41176470588235</v>
      </c>
      <c r="E6" s="18">
        <f>'Model inputs'!E14*'Model inputs'!AA16</f>
        <v>226.3235294117647</v>
      </c>
      <c r="F6" s="18">
        <f>'Model inputs'!F14*'Model inputs'!AA16</f>
        <v>319.23529411764713</v>
      </c>
      <c r="G6" s="18">
        <f>'Model inputs'!G14*'Model inputs'!AA16</f>
        <v>412.1470588235294</v>
      </c>
      <c r="H6" s="18">
        <f>'Model inputs'!H14*'Model inputs'!AA16</f>
        <v>505.0588235294117</v>
      </c>
      <c r="I6" s="18">
        <f>'Model inputs'!I14*'Model inputs'!AA16</f>
        <v>597.9705882352943</v>
      </c>
      <c r="J6" s="18">
        <f>'Model inputs'!J14*'Model inputs'!AA16</f>
        <v>690.8823529411765</v>
      </c>
      <c r="K6" s="18">
        <f>'Model inputs'!K14*'Model inputs'!AA16</f>
        <v>783.7941176470588</v>
      </c>
      <c r="L6" s="18">
        <f>'Model inputs'!L14*'Model inputs'!AA16</f>
        <v>876.7058823529411</v>
      </c>
      <c r="M6" s="18">
        <f>'Model inputs'!M14*'Model inputs'!AA16</f>
        <v>969.6176470588234</v>
      </c>
      <c r="N6" s="18">
        <f>'Model inputs'!N14*'Model inputs'!AA16</f>
        <v>1062.5294117647059</v>
      </c>
      <c r="O6" s="18">
        <f>'Model inputs'!O14*'Model inputs'!AA16</f>
        <v>1155.4411764705885</v>
      </c>
      <c r="P6" s="18">
        <f>'Model inputs'!P14*'Model inputs'!AA16</f>
        <v>1248.3529411764707</v>
      </c>
      <c r="Q6" s="18">
        <f>'Model inputs'!Q14*'Model inputs'!AA16</f>
        <v>1341.264705882353</v>
      </c>
      <c r="R6" s="18">
        <f>'Model inputs'!R14*'Model inputs'!AA16</f>
        <v>1434.1764705882354</v>
      </c>
      <c r="S6" s="18">
        <f>'Model inputs'!S14*'Model inputs'!AA16</f>
        <v>1527.0882352941176</v>
      </c>
      <c r="T6" s="18">
        <f>'Model inputs'!T14*'Model inputs'!AA16</f>
        <v>1620</v>
      </c>
      <c r="U6" s="18">
        <f>'Model inputs'!U14*'Model inputs'!AA16</f>
        <v>1620</v>
      </c>
      <c r="V6" s="18">
        <f>'Model inputs'!V14*'Model inputs'!AA16</f>
        <v>1620</v>
      </c>
      <c r="W6" s="18">
        <f>'Model inputs'!W14*'Model inputs'!AA16</f>
        <v>1620</v>
      </c>
      <c r="X6" s="18">
        <f>'Model inputs'!X14*'Model inputs'!AA16</f>
        <v>1620</v>
      </c>
      <c r="Y6" s="18">
        <f>'Model inputs'!Y14*'Model inputs'!AA16</f>
        <v>1620</v>
      </c>
      <c r="Z6" s="18">
        <f>'Model inputs'!Z14*'Model inputs'!AA16</f>
        <v>1620</v>
      </c>
    </row>
    <row r="7">
      <c r="A7" t="inlineStr" s="17">
        <is>
          <t xml:space="preserve">Cash balance</t>
        </is>
      </c>
      <c r="B7" s="18">
        <f>IF('Model inputs'!AA31="","",'Model inputs'!AA31)</f>
        <v>0</v>
      </c>
      <c r="C7" s="18">
        <f>'Model inputs'!B7-'Model inputs'!C18+'Model inputs'!C9</f>
        <v>632.5</v>
      </c>
      <c r="D7" s="18">
        <f>'Model inputs'!C7-'Model inputs'!D18+'Model inputs'!D9</f>
        <v>3174.8529411764703</v>
      </c>
      <c r="E7" s="18">
        <f>'Model inputs'!D7-'Model inputs'!E18+'Model inputs'!E9</f>
        <v>7627.058823529411</v>
      </c>
      <c r="F7" s="18">
        <f>'Model inputs'!E7-'Model inputs'!F18+'Model inputs'!F9</f>
        <v>13989.117647058823</v>
      </c>
      <c r="G7" s="18">
        <f>'Model inputs'!F7-'Model inputs'!G18+'Model inputs'!G9</f>
        <v>22261.029411764706</v>
      </c>
      <c r="H7" s="18">
        <f>'Model inputs'!G7-'Model inputs'!H18+'Model inputs'!H9</f>
        <v>32442.794117647056</v>
      </c>
      <c r="I7" s="18">
        <f>'Model inputs'!H7-'Model inputs'!I18+'Model inputs'!I9</f>
        <v>36534.41176470588</v>
      </c>
      <c r="J7" s="18">
        <f>'Model inputs'!I7-'Model inputs'!J18+'Model inputs'!J9</f>
        <v>42535.882352941175</v>
      </c>
      <c r="K7" s="18">
        <f>'Model inputs'!J7-'Model inputs'!K18+'Model inputs'!K9</f>
        <v>50447.20588235294</v>
      </c>
      <c r="L7" s="18">
        <f>'Model inputs'!K7-'Model inputs'!L18+'Model inputs'!L9</f>
        <v>60268.382352941175</v>
      </c>
      <c r="M7" s="18">
        <f>'Model inputs'!L7-'Model inputs'!M18+'Model inputs'!M9</f>
        <v>71999.41176470587</v>
      </c>
      <c r="N7" s="18">
        <f>'Model inputs'!M7-'Model inputs'!N18+'Model inputs'!N9</f>
        <v>85640.29411764705</v>
      </c>
      <c r="O7" s="18">
        <f>'Model inputs'!N7-'Model inputs'!O18+'Model inputs'!O9</f>
        <v>101191.0294117647</v>
      </c>
      <c r="P7" s="18">
        <f>'Model inputs'!O7-'Model inputs'!P18+'Model inputs'!P9</f>
        <v>118651.61764705883</v>
      </c>
      <c r="Q7" s="18">
        <f>'Model inputs'!P7-'Model inputs'!Q18+'Model inputs'!Q9</f>
        <v>138022.0588235294</v>
      </c>
      <c r="R7" s="18">
        <f>'Model inputs'!Q7-'Model inputs'!R18+'Model inputs'!R9</f>
        <v>159302.35294117645</v>
      </c>
      <c r="S7" s="18">
        <f>'Model inputs'!R7-'Model inputs'!S18+'Model inputs'!S9</f>
        <v>182492.49999999997</v>
      </c>
      <c r="T7" s="18">
        <f>'Model inputs'!S7-'Model inputs'!T18+'Model inputs'!T9</f>
        <v>207592.49999999997</v>
      </c>
      <c r="U7" s="18">
        <f>'Model inputs'!T7-'Model inputs'!U18+'Model inputs'!U9</f>
        <v>232692.49999999997</v>
      </c>
      <c r="V7" s="18">
        <f>'Model inputs'!U7-'Model inputs'!V18+'Model inputs'!V9</f>
        <v>257792.49999999997</v>
      </c>
      <c r="W7" s="18">
        <f>'Model inputs'!V7-'Model inputs'!W18+'Model inputs'!W9</f>
        <v>282892.5</v>
      </c>
      <c r="X7" s="18">
        <f>'Model inputs'!W7-'Model inputs'!X18+'Model inputs'!X9</f>
        <v>307992.5</v>
      </c>
      <c r="Y7" s="18">
        <f>'Model inputs'!X7-'Model inputs'!Y18+'Model inputs'!Y9</f>
        <v>333092.5</v>
      </c>
      <c r="Z7" s="18">
        <f>'Model inputs'!Y7-'Model inputs'!Z18+'Model inputs'!Z9</f>
        <v>358192.5</v>
      </c>
    </row>
    <row r="8">
      <c r="A8" t="inlineStr" s="17">
        <is>
          <t xml:space="preserve">Cost of goods sold</t>
        </is>
      </c>
      <c r="B8" s="18">
        <v>0</v>
      </c>
      <c r="C8" s="18">
        <f>'Model inputs'!C6+'Model inputs'!C21</f>
        <v>67.5</v>
      </c>
      <c r="D8" s="18">
        <f>'Model inputs'!D6+'Model inputs'!D21</f>
        <v>222.35294117647058</v>
      </c>
      <c r="E8" s="18">
        <f>'Model inputs'!E6+'Model inputs'!E21</f>
        <v>377.20588235294116</v>
      </c>
      <c r="F8" s="18">
        <f>'Model inputs'!F6+'Model inputs'!F21</f>
        <v>532.0588235294118</v>
      </c>
      <c r="G8" s="18">
        <f>'Model inputs'!G6+'Model inputs'!G21</f>
        <v>686.9117647058823</v>
      </c>
      <c r="H8" s="18">
        <f>'Model inputs'!H6+'Model inputs'!H21</f>
        <v>841.7647058823528</v>
      </c>
      <c r="I8" s="18">
        <f>'Model inputs'!I6+'Model inputs'!I21</f>
        <v>996.6176470588236</v>
      </c>
      <c r="J8" s="18">
        <f>'Model inputs'!J6+'Model inputs'!J21</f>
        <v>1151.4705882352941</v>
      </c>
      <c r="K8" s="18">
        <f>'Model inputs'!K6+'Model inputs'!K21</f>
        <v>1306.3235294117646</v>
      </c>
      <c r="L8" s="18">
        <f>'Model inputs'!L6+'Model inputs'!L21</f>
        <v>1461.1764705882351</v>
      </c>
      <c r="M8" s="18">
        <f>'Model inputs'!M6+'Model inputs'!M21</f>
        <v>1616.0294117647056</v>
      </c>
      <c r="N8" s="18">
        <f>'Model inputs'!N6+'Model inputs'!N21</f>
        <v>1770.8823529411764</v>
      </c>
      <c r="O8" s="18">
        <f>'Model inputs'!O6+'Model inputs'!O21</f>
        <v>1925.7352941176473</v>
      </c>
      <c r="P8" s="18">
        <f>'Model inputs'!P6+'Model inputs'!P21</f>
        <v>2080.588235294118</v>
      </c>
      <c r="Q8" s="18">
        <f>'Model inputs'!Q6+'Model inputs'!Q21</f>
        <v>2235.4411764705883</v>
      </c>
      <c r="R8" s="18">
        <f>'Model inputs'!R6+'Model inputs'!R21</f>
        <v>2390.294117647059</v>
      </c>
      <c r="S8" s="18">
        <f>'Model inputs'!S6+'Model inputs'!S21</f>
        <v>2545.1470588235293</v>
      </c>
      <c r="T8" s="18">
        <f>'Model inputs'!T6+'Model inputs'!T21</f>
        <v>2700</v>
      </c>
      <c r="U8" s="18">
        <f>'Model inputs'!U6+'Model inputs'!U21</f>
        <v>2700</v>
      </c>
      <c r="V8" s="18">
        <f>'Model inputs'!V6+'Model inputs'!V21</f>
        <v>2700</v>
      </c>
      <c r="W8" s="18">
        <f>'Model inputs'!W6+'Model inputs'!W21</f>
        <v>2700</v>
      </c>
      <c r="X8" s="18">
        <f>'Model inputs'!X6+'Model inputs'!X21</f>
        <v>2700</v>
      </c>
      <c r="Y8" s="18">
        <f>'Model inputs'!Y6+'Model inputs'!Y21</f>
        <v>2700</v>
      </c>
      <c r="Z8" s="18">
        <f>'Model inputs'!Z6+'Model inputs'!Z21</f>
        <v>2700</v>
      </c>
    </row>
    <row r="9">
      <c r="A9" t="inlineStr" s="17">
        <is>
          <t xml:space="preserve">Equity raised</t>
        </is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f>'Kedge P&amp;L, Burn &amp; Runway'!H16</f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</row>
    <row r="10">
      <c r="A10" t="inlineStr" s="17">
        <is>
          <t xml:space="preserve">Founder monthly salary</t>
        </is>
      </c>
      <c r="AA10" s="18">
        <f>4000</f>
        <v>4000</v>
      </c>
    </row>
    <row r="11">
      <c r="A11" t="inlineStr" s="17">
        <is>
          <t xml:space="preserve">Founder salaries</t>
        </is>
      </c>
      <c r="B11" s="18">
        <v>0</v>
      </c>
      <c r="C11" s="18">
        <f>IF(IF(IF(ISERROR('Model inputs'!C17&gt;'Model inputs'!AA27),'Model inputs'!C17&gt;'Model inputs'!AA27,IF(OR('Model inputs'!C17="",'Model inputs'!AA27=""),"",'Model inputs'!C17&gt;'Model inputs'!AA27))="",FALSE,IF(ISERROR('Model inputs'!C17&gt;'Model inputs'!AA27),'Model inputs'!C17&gt;'Model inputs'!AA27,IF(OR('Model inputs'!C17="",'Model inputs'!AA27=""),"",'Model inputs'!C17&gt;'Model inputs'!AA27))),'Model inputs'!AA12*'Model inputs'!AA10,0)</f>
        <v>0</v>
      </c>
      <c r="D11" s="18">
        <f>IF(IF(IF(ISERROR('Model inputs'!D17&gt;'Model inputs'!AA27),'Model inputs'!D17&gt;'Model inputs'!AA27,IF(OR('Model inputs'!D17="",'Model inputs'!AA27=""),"",'Model inputs'!D17&gt;'Model inputs'!AA27))="",FALSE,IF(ISERROR('Model inputs'!D17&gt;'Model inputs'!AA27),'Model inputs'!D17&gt;'Model inputs'!AA27,IF(OR('Model inputs'!D17="",'Model inputs'!AA27=""),"",'Model inputs'!D17&gt;'Model inputs'!AA27))),'Model inputs'!AA12*'Model inputs'!AA10,0)</f>
        <v>0</v>
      </c>
      <c r="E11" s="18">
        <f>IF(IF(IF(ISERROR('Model inputs'!E17&gt;'Model inputs'!AA27),'Model inputs'!E17&gt;'Model inputs'!AA27,IF(OR('Model inputs'!E17="",'Model inputs'!AA27=""),"",'Model inputs'!E17&gt;'Model inputs'!AA27))="",FALSE,IF(ISERROR('Model inputs'!E17&gt;'Model inputs'!AA27),'Model inputs'!E17&gt;'Model inputs'!AA27,IF(OR('Model inputs'!E17="",'Model inputs'!AA27=""),"",'Model inputs'!E17&gt;'Model inputs'!AA27))),'Model inputs'!AA12*'Model inputs'!AA10,0)</f>
        <v>0</v>
      </c>
      <c r="F11" s="18">
        <f>IF(IF(IF(ISERROR('Model inputs'!F17&gt;'Model inputs'!AA27),'Model inputs'!F17&gt;'Model inputs'!AA27,IF(OR('Model inputs'!F17="",'Model inputs'!AA27=""),"",'Model inputs'!F17&gt;'Model inputs'!AA27))="",FALSE,IF(ISERROR('Model inputs'!F17&gt;'Model inputs'!AA27),'Model inputs'!F17&gt;'Model inputs'!AA27,IF(OR('Model inputs'!F17="",'Model inputs'!AA27=""),"",'Model inputs'!F17&gt;'Model inputs'!AA27))),'Model inputs'!AA12*'Model inputs'!AA10,0)</f>
        <v>0</v>
      </c>
      <c r="G11" s="18">
        <f>IF(IF(IF(ISERROR('Model inputs'!G17&gt;'Model inputs'!AA27),'Model inputs'!G17&gt;'Model inputs'!AA27,IF(OR('Model inputs'!G17="",'Model inputs'!AA27=""),"",'Model inputs'!G17&gt;'Model inputs'!AA27))="",FALSE,IF(ISERROR('Model inputs'!G17&gt;'Model inputs'!AA27),'Model inputs'!G17&gt;'Model inputs'!AA27,IF(OR('Model inputs'!G17="",'Model inputs'!AA27=""),"",'Model inputs'!G17&gt;'Model inputs'!AA27))),'Model inputs'!AA12*'Model inputs'!AA10,0)</f>
        <v>0</v>
      </c>
      <c r="H11" s="18">
        <f>IF(IF(IF(ISERROR('Model inputs'!H17&gt;'Model inputs'!AA27),'Model inputs'!H17&gt;'Model inputs'!AA27,IF(OR('Model inputs'!H17="",'Model inputs'!AA27=""),"",'Model inputs'!H17&gt;'Model inputs'!AA27))="",FALSE,IF(ISERROR('Model inputs'!H17&gt;'Model inputs'!AA27),'Model inputs'!H17&gt;'Model inputs'!AA27,IF(OR('Model inputs'!H17="",'Model inputs'!AA27=""),"",'Model inputs'!H17&gt;'Model inputs'!AA27))),'Model inputs'!AA12*'Model inputs'!AA10,0)</f>
        <v>0</v>
      </c>
      <c r="I11" s="18">
        <f>IF(IF(IF(ISERROR('Model inputs'!I17&gt;'Model inputs'!AA27),'Model inputs'!I17&gt;'Model inputs'!AA27,IF(OR('Model inputs'!I17="",'Model inputs'!AA27=""),"",'Model inputs'!I17&gt;'Model inputs'!AA27))="",FALSE,IF(ISERROR('Model inputs'!I17&gt;'Model inputs'!AA27),'Model inputs'!I17&gt;'Model inputs'!AA27,IF(OR('Model inputs'!I17="",'Model inputs'!AA27=""),"",'Model inputs'!I17&gt;'Model inputs'!AA27))),'Model inputs'!AA12*'Model inputs'!AA10,0)</f>
        <v>8000</v>
      </c>
      <c r="J11" s="18">
        <f>IF(IF(IF(ISERROR('Model inputs'!J17&gt;'Model inputs'!AA27),'Model inputs'!J17&gt;'Model inputs'!AA27,IF(OR('Model inputs'!J17="",'Model inputs'!AA27=""),"",'Model inputs'!J17&gt;'Model inputs'!AA27))="",FALSE,IF(ISERROR('Model inputs'!J17&gt;'Model inputs'!AA27),'Model inputs'!J17&gt;'Model inputs'!AA27,IF(OR('Model inputs'!J17="",'Model inputs'!AA27=""),"",'Model inputs'!J17&gt;'Model inputs'!AA27))),'Model inputs'!AA12*'Model inputs'!AA10,0)</f>
        <v>8000</v>
      </c>
      <c r="K11" s="18">
        <f>IF(IF(IF(ISERROR('Model inputs'!K17&gt;'Model inputs'!AA27),'Model inputs'!K17&gt;'Model inputs'!AA27,IF(OR('Model inputs'!K17="",'Model inputs'!AA27=""),"",'Model inputs'!K17&gt;'Model inputs'!AA27))="",FALSE,IF(ISERROR('Model inputs'!K17&gt;'Model inputs'!AA27),'Model inputs'!K17&gt;'Model inputs'!AA27,IF(OR('Model inputs'!K17="",'Model inputs'!AA27=""),"",'Model inputs'!K17&gt;'Model inputs'!AA27))),'Model inputs'!AA12*'Model inputs'!AA10,0)</f>
        <v>8000</v>
      </c>
      <c r="L11" s="18">
        <f>IF(IF(IF(ISERROR('Model inputs'!L17&gt;'Model inputs'!AA27),'Model inputs'!L17&gt;'Model inputs'!AA27,IF(OR('Model inputs'!L17="",'Model inputs'!AA27=""),"",'Model inputs'!L17&gt;'Model inputs'!AA27))="",FALSE,IF(ISERROR('Model inputs'!L17&gt;'Model inputs'!AA27),'Model inputs'!L17&gt;'Model inputs'!AA27,IF(OR('Model inputs'!L17="",'Model inputs'!AA27=""),"",'Model inputs'!L17&gt;'Model inputs'!AA27))),'Model inputs'!AA12*'Model inputs'!AA10,0)</f>
        <v>8000</v>
      </c>
      <c r="M11" s="18">
        <f>IF(IF(IF(ISERROR('Model inputs'!M17&gt;'Model inputs'!AA27),'Model inputs'!M17&gt;'Model inputs'!AA27,IF(OR('Model inputs'!M17="",'Model inputs'!AA27=""),"",'Model inputs'!M17&gt;'Model inputs'!AA27))="",FALSE,IF(ISERROR('Model inputs'!M17&gt;'Model inputs'!AA27),'Model inputs'!M17&gt;'Model inputs'!AA27,IF(OR('Model inputs'!M17="",'Model inputs'!AA27=""),"",'Model inputs'!M17&gt;'Model inputs'!AA27))),'Model inputs'!AA12*'Model inputs'!AA10,0)</f>
        <v>8000</v>
      </c>
      <c r="N11" s="18">
        <f>IF(IF(IF(ISERROR('Model inputs'!N17&gt;'Model inputs'!AA27),'Model inputs'!N17&gt;'Model inputs'!AA27,IF(OR('Model inputs'!N17="",'Model inputs'!AA27=""),"",'Model inputs'!N17&gt;'Model inputs'!AA27))="",FALSE,IF(ISERROR('Model inputs'!N17&gt;'Model inputs'!AA27),'Model inputs'!N17&gt;'Model inputs'!AA27,IF(OR('Model inputs'!N17="",'Model inputs'!AA27=""),"",'Model inputs'!N17&gt;'Model inputs'!AA27))),'Model inputs'!AA12*'Model inputs'!AA10,0)</f>
        <v>8000</v>
      </c>
      <c r="O11" s="18">
        <f>IF(IF(IF(ISERROR('Model inputs'!O17&gt;'Model inputs'!AA27),'Model inputs'!O17&gt;'Model inputs'!AA27,IF(OR('Model inputs'!O17="",'Model inputs'!AA27=""),"",'Model inputs'!O17&gt;'Model inputs'!AA27))="",FALSE,IF(ISERROR('Model inputs'!O17&gt;'Model inputs'!AA27),'Model inputs'!O17&gt;'Model inputs'!AA27,IF(OR('Model inputs'!O17="",'Model inputs'!AA27=""),"",'Model inputs'!O17&gt;'Model inputs'!AA27))),'Model inputs'!AA12*'Model inputs'!AA10,0)</f>
        <v>8000</v>
      </c>
      <c r="P11" s="18">
        <f>IF(IF(IF(ISERROR('Model inputs'!P17&gt;'Model inputs'!AA27),'Model inputs'!P17&gt;'Model inputs'!AA27,IF(OR('Model inputs'!P17="",'Model inputs'!AA27=""),"",'Model inputs'!P17&gt;'Model inputs'!AA27))="",FALSE,IF(ISERROR('Model inputs'!P17&gt;'Model inputs'!AA27),'Model inputs'!P17&gt;'Model inputs'!AA27,IF(OR('Model inputs'!P17="",'Model inputs'!AA27=""),"",'Model inputs'!P17&gt;'Model inputs'!AA27))),'Model inputs'!AA12*'Model inputs'!AA10,0)</f>
        <v>8000</v>
      </c>
      <c r="Q11" s="18">
        <f>IF(IF(IF(ISERROR('Model inputs'!Q17&gt;'Model inputs'!AA27),'Model inputs'!Q17&gt;'Model inputs'!AA27,IF(OR('Model inputs'!Q17="",'Model inputs'!AA27=""),"",'Model inputs'!Q17&gt;'Model inputs'!AA27))="",FALSE,IF(ISERROR('Model inputs'!Q17&gt;'Model inputs'!AA27),'Model inputs'!Q17&gt;'Model inputs'!AA27,IF(OR('Model inputs'!Q17="",'Model inputs'!AA27=""),"",'Model inputs'!Q17&gt;'Model inputs'!AA27))),'Model inputs'!AA12*'Model inputs'!AA10,0)</f>
        <v>8000</v>
      </c>
      <c r="R11" s="18">
        <f>IF(IF(IF(ISERROR('Model inputs'!R17&gt;'Model inputs'!AA27),'Model inputs'!R17&gt;'Model inputs'!AA27,IF(OR('Model inputs'!R17="",'Model inputs'!AA27=""),"",'Model inputs'!R17&gt;'Model inputs'!AA27))="",FALSE,IF(ISERROR('Model inputs'!R17&gt;'Model inputs'!AA27),'Model inputs'!R17&gt;'Model inputs'!AA27,IF(OR('Model inputs'!R17="",'Model inputs'!AA27=""),"",'Model inputs'!R17&gt;'Model inputs'!AA27))),'Model inputs'!AA12*'Model inputs'!AA10,0)</f>
        <v>8000</v>
      </c>
      <c r="S11" s="18">
        <f>IF(IF(IF(ISERROR('Model inputs'!S17&gt;'Model inputs'!AA27),'Model inputs'!S17&gt;'Model inputs'!AA27,IF(OR('Model inputs'!S17="",'Model inputs'!AA27=""),"",'Model inputs'!S17&gt;'Model inputs'!AA27))="",FALSE,IF(ISERROR('Model inputs'!S17&gt;'Model inputs'!AA27),'Model inputs'!S17&gt;'Model inputs'!AA27,IF(OR('Model inputs'!S17="",'Model inputs'!AA27=""),"",'Model inputs'!S17&gt;'Model inputs'!AA27))),'Model inputs'!AA12*'Model inputs'!AA10,0)</f>
        <v>8000</v>
      </c>
      <c r="T11" s="18">
        <f>IF(IF(IF(ISERROR('Model inputs'!T17&gt;'Model inputs'!AA27),'Model inputs'!T17&gt;'Model inputs'!AA27,IF(OR('Model inputs'!T17="",'Model inputs'!AA27=""),"",'Model inputs'!T17&gt;'Model inputs'!AA27))="",FALSE,IF(ISERROR('Model inputs'!T17&gt;'Model inputs'!AA27),'Model inputs'!T17&gt;'Model inputs'!AA27,IF(OR('Model inputs'!T17="",'Model inputs'!AA27=""),"",'Model inputs'!T17&gt;'Model inputs'!AA27))),'Model inputs'!AA12*'Model inputs'!AA10,0)</f>
        <v>8000</v>
      </c>
      <c r="U11" s="18">
        <f>IF(IF(IF(ISERROR('Model inputs'!U17&gt;'Model inputs'!AA27),'Model inputs'!U17&gt;'Model inputs'!AA27,IF(OR('Model inputs'!U17="",'Model inputs'!AA27=""),"",'Model inputs'!U17&gt;'Model inputs'!AA27))="",FALSE,IF(ISERROR('Model inputs'!U17&gt;'Model inputs'!AA27),'Model inputs'!U17&gt;'Model inputs'!AA27,IF(OR('Model inputs'!U17="",'Model inputs'!AA27=""),"",'Model inputs'!U17&gt;'Model inputs'!AA27))),'Model inputs'!AA12*'Model inputs'!AA10,0)</f>
        <v>8000</v>
      </c>
      <c r="V11" s="18">
        <f>IF(IF(IF(ISERROR('Model inputs'!V17&gt;'Model inputs'!AA27),'Model inputs'!V17&gt;'Model inputs'!AA27,IF(OR('Model inputs'!V17="",'Model inputs'!AA27=""),"",'Model inputs'!V17&gt;'Model inputs'!AA27))="",FALSE,IF(ISERROR('Model inputs'!V17&gt;'Model inputs'!AA27),'Model inputs'!V17&gt;'Model inputs'!AA27,IF(OR('Model inputs'!V17="",'Model inputs'!AA27=""),"",'Model inputs'!V17&gt;'Model inputs'!AA27))),'Model inputs'!AA12*'Model inputs'!AA10,0)</f>
        <v>8000</v>
      </c>
      <c r="W11" s="18">
        <f>IF(IF(IF(ISERROR('Model inputs'!W17&gt;'Model inputs'!AA27),'Model inputs'!W17&gt;'Model inputs'!AA27,IF(OR('Model inputs'!W17="",'Model inputs'!AA27=""),"",'Model inputs'!W17&gt;'Model inputs'!AA27))="",FALSE,IF(ISERROR('Model inputs'!W17&gt;'Model inputs'!AA27),'Model inputs'!W17&gt;'Model inputs'!AA27,IF(OR('Model inputs'!W17="",'Model inputs'!AA27=""),"",'Model inputs'!W17&gt;'Model inputs'!AA27))),'Model inputs'!AA12*'Model inputs'!AA10,0)</f>
        <v>8000</v>
      </c>
      <c r="X11" s="18">
        <f>IF(IF(IF(ISERROR('Model inputs'!X17&gt;'Model inputs'!AA27),'Model inputs'!X17&gt;'Model inputs'!AA27,IF(OR('Model inputs'!X17="",'Model inputs'!AA27=""),"",'Model inputs'!X17&gt;'Model inputs'!AA27))="",FALSE,IF(ISERROR('Model inputs'!X17&gt;'Model inputs'!AA27),'Model inputs'!X17&gt;'Model inputs'!AA27,IF(OR('Model inputs'!X17="",'Model inputs'!AA27=""),"",'Model inputs'!X17&gt;'Model inputs'!AA27))),'Model inputs'!AA12*'Model inputs'!AA10,0)</f>
        <v>8000</v>
      </c>
      <c r="Y11" s="18">
        <f>IF(IF(IF(ISERROR('Model inputs'!Y17&gt;'Model inputs'!AA27),'Model inputs'!Y17&gt;'Model inputs'!AA27,IF(OR('Model inputs'!Y17="",'Model inputs'!AA27=""),"",'Model inputs'!Y17&gt;'Model inputs'!AA27))="",FALSE,IF(ISERROR('Model inputs'!Y17&gt;'Model inputs'!AA27),'Model inputs'!Y17&gt;'Model inputs'!AA27,IF(OR('Model inputs'!Y17="",'Model inputs'!AA27=""),"",'Model inputs'!Y17&gt;'Model inputs'!AA27))),'Model inputs'!AA12*'Model inputs'!AA10,0)</f>
        <v>8000</v>
      </c>
      <c r="Z11" s="18">
        <f>IF(IF(IF(ISERROR('Model inputs'!Z17&gt;'Model inputs'!AA27),'Model inputs'!Z17&gt;'Model inputs'!AA27,IF(OR('Model inputs'!Z17="",'Model inputs'!AA27=""),"",'Model inputs'!Z17&gt;'Model inputs'!AA27))="",FALSE,IF(ISERROR('Model inputs'!Z17&gt;'Model inputs'!AA27),'Model inputs'!Z17&gt;'Model inputs'!AA27,IF(OR('Model inputs'!Z17="",'Model inputs'!AA27=""),"",'Model inputs'!Z17&gt;'Model inputs'!AA27))),'Model inputs'!AA12*'Model inputs'!AA10,0)</f>
        <v>8000</v>
      </c>
    </row>
    <row r="12">
      <c r="A12" t="inlineStr" s="17">
        <is>
          <t xml:space="preserve">Founders</t>
        </is>
      </c>
      <c r="AA12" s="18">
        <f>2</f>
        <v>2</v>
      </c>
    </row>
    <row r="13">
      <c r="A13" t="inlineStr" s="17">
        <is>
          <t xml:space="preserve">Funding needed to date</t>
        </is>
      </c>
      <c r="B13" s="18">
        <f>0</f>
        <v>0</v>
      </c>
      <c r="C13" s="18">
        <f>IF(IF(IF(ISERROR(-'Model inputs'!C7&gt;'Model inputs'!B13),-'Model inputs'!C7&gt;'Model inputs'!B13,IF('Model inputs'!B13="","",-'Model inputs'!C7&gt;'Model inputs'!B13))="",FALSE,IF(ISERROR(-'Model inputs'!C7&gt;'Model inputs'!B13),-'Model inputs'!C7&gt;'Model inputs'!B13,IF('Model inputs'!B13="","",-'Model inputs'!C7&gt;'Model inputs'!B13))),-'Model inputs'!C7,IF('Model inputs'!B13="","",'Model inputs'!B13))</f>
        <v>0</v>
      </c>
      <c r="D13" s="18">
        <f>IF(IF(IF(ISERROR(-'Model inputs'!D7&gt;'Model inputs'!C13),-'Model inputs'!D7&gt;'Model inputs'!C13,IF('Model inputs'!C13="","",-'Model inputs'!D7&gt;'Model inputs'!C13))="",FALSE,IF(ISERROR(-'Model inputs'!D7&gt;'Model inputs'!C13),-'Model inputs'!D7&gt;'Model inputs'!C13,IF('Model inputs'!C13="","",-'Model inputs'!D7&gt;'Model inputs'!C13))),-'Model inputs'!D7,IF('Model inputs'!C13="","",'Model inputs'!C13))</f>
        <v>0</v>
      </c>
      <c r="E13" s="18">
        <f>IF(IF(IF(ISERROR(-'Model inputs'!E7&gt;'Model inputs'!D13),-'Model inputs'!E7&gt;'Model inputs'!D13,IF('Model inputs'!D13="","",-'Model inputs'!E7&gt;'Model inputs'!D13))="",FALSE,IF(ISERROR(-'Model inputs'!E7&gt;'Model inputs'!D13),-'Model inputs'!E7&gt;'Model inputs'!D13,IF('Model inputs'!D13="","",-'Model inputs'!E7&gt;'Model inputs'!D13))),-'Model inputs'!E7,IF('Model inputs'!D13="","",'Model inputs'!D13))</f>
        <v>0</v>
      </c>
      <c r="F13" s="18">
        <f>IF(IF(IF(ISERROR(-'Model inputs'!F7&gt;'Model inputs'!E13),-'Model inputs'!F7&gt;'Model inputs'!E13,IF('Model inputs'!E13="","",-'Model inputs'!F7&gt;'Model inputs'!E13))="",FALSE,IF(ISERROR(-'Model inputs'!F7&gt;'Model inputs'!E13),-'Model inputs'!F7&gt;'Model inputs'!E13,IF('Model inputs'!E13="","",-'Model inputs'!F7&gt;'Model inputs'!E13))),-'Model inputs'!F7,IF('Model inputs'!E13="","",'Model inputs'!E13))</f>
        <v>0</v>
      </c>
      <c r="G13" s="18">
        <f>IF(IF(IF(ISERROR(-'Model inputs'!G7&gt;'Model inputs'!F13),-'Model inputs'!G7&gt;'Model inputs'!F13,IF('Model inputs'!F13="","",-'Model inputs'!G7&gt;'Model inputs'!F13))="",FALSE,IF(ISERROR(-'Model inputs'!G7&gt;'Model inputs'!F13),-'Model inputs'!G7&gt;'Model inputs'!F13,IF('Model inputs'!F13="","",-'Model inputs'!G7&gt;'Model inputs'!F13))),-'Model inputs'!G7,IF('Model inputs'!F13="","",'Model inputs'!F13))</f>
        <v>0</v>
      </c>
      <c r="H13" s="18">
        <f>IF(IF(IF(ISERROR(-'Model inputs'!H7&gt;'Model inputs'!G13),-'Model inputs'!H7&gt;'Model inputs'!G13,IF('Model inputs'!G13="","",-'Model inputs'!H7&gt;'Model inputs'!G13))="",FALSE,IF(ISERROR(-'Model inputs'!H7&gt;'Model inputs'!G13),-'Model inputs'!H7&gt;'Model inputs'!G13,IF('Model inputs'!G13="","",-'Model inputs'!H7&gt;'Model inputs'!G13))),-'Model inputs'!H7,IF('Model inputs'!G13="","",'Model inputs'!G13))</f>
        <v>0</v>
      </c>
      <c r="I13" s="18">
        <f>IF(IF(IF(ISERROR(-'Model inputs'!I7&gt;'Model inputs'!H13),-'Model inputs'!I7&gt;'Model inputs'!H13,IF('Model inputs'!H13="","",-'Model inputs'!I7&gt;'Model inputs'!H13))="",FALSE,IF(ISERROR(-'Model inputs'!I7&gt;'Model inputs'!H13),-'Model inputs'!I7&gt;'Model inputs'!H13,IF('Model inputs'!H13="","",-'Model inputs'!I7&gt;'Model inputs'!H13))),-'Model inputs'!I7,IF('Model inputs'!H13="","",'Model inputs'!H13))</f>
        <v>0</v>
      </c>
      <c r="J13" s="18">
        <f>IF(IF(IF(ISERROR(-'Model inputs'!J7&gt;'Model inputs'!I13),-'Model inputs'!J7&gt;'Model inputs'!I13,IF('Model inputs'!I13="","",-'Model inputs'!J7&gt;'Model inputs'!I13))="",FALSE,IF(ISERROR(-'Model inputs'!J7&gt;'Model inputs'!I13),-'Model inputs'!J7&gt;'Model inputs'!I13,IF('Model inputs'!I13="","",-'Model inputs'!J7&gt;'Model inputs'!I13))),-'Model inputs'!J7,IF('Model inputs'!I13="","",'Model inputs'!I13))</f>
        <v>0</v>
      </c>
      <c r="K13" s="18">
        <f>IF(IF(IF(ISERROR(-'Model inputs'!K7&gt;'Model inputs'!J13),-'Model inputs'!K7&gt;'Model inputs'!J13,IF('Model inputs'!J13="","",-'Model inputs'!K7&gt;'Model inputs'!J13))="",FALSE,IF(ISERROR(-'Model inputs'!K7&gt;'Model inputs'!J13),-'Model inputs'!K7&gt;'Model inputs'!J13,IF('Model inputs'!J13="","",-'Model inputs'!K7&gt;'Model inputs'!J13))),-'Model inputs'!K7,IF('Model inputs'!J13="","",'Model inputs'!J13))</f>
        <v>0</v>
      </c>
      <c r="L13" s="18">
        <f>IF(IF(IF(ISERROR(-'Model inputs'!L7&gt;'Model inputs'!K13),-'Model inputs'!L7&gt;'Model inputs'!K13,IF('Model inputs'!K13="","",-'Model inputs'!L7&gt;'Model inputs'!K13))="",FALSE,IF(ISERROR(-'Model inputs'!L7&gt;'Model inputs'!K13),-'Model inputs'!L7&gt;'Model inputs'!K13,IF('Model inputs'!K13="","",-'Model inputs'!L7&gt;'Model inputs'!K13))),-'Model inputs'!L7,IF('Model inputs'!K13="","",'Model inputs'!K13))</f>
        <v>0</v>
      </c>
      <c r="M13" s="18">
        <f>IF(IF(IF(ISERROR(-'Model inputs'!M7&gt;'Model inputs'!L13),-'Model inputs'!M7&gt;'Model inputs'!L13,IF('Model inputs'!L13="","",-'Model inputs'!M7&gt;'Model inputs'!L13))="",FALSE,IF(ISERROR(-'Model inputs'!M7&gt;'Model inputs'!L13),-'Model inputs'!M7&gt;'Model inputs'!L13,IF('Model inputs'!L13="","",-'Model inputs'!M7&gt;'Model inputs'!L13))),-'Model inputs'!M7,IF('Model inputs'!L13="","",'Model inputs'!L13))</f>
        <v>0</v>
      </c>
      <c r="N13" s="18">
        <f>IF(IF(IF(ISERROR(-'Model inputs'!N7&gt;'Model inputs'!M13),-'Model inputs'!N7&gt;'Model inputs'!M13,IF('Model inputs'!M13="","",-'Model inputs'!N7&gt;'Model inputs'!M13))="",FALSE,IF(ISERROR(-'Model inputs'!N7&gt;'Model inputs'!M13),-'Model inputs'!N7&gt;'Model inputs'!M13,IF('Model inputs'!M13="","",-'Model inputs'!N7&gt;'Model inputs'!M13))),-'Model inputs'!N7,IF('Model inputs'!M13="","",'Model inputs'!M13))</f>
        <v>0</v>
      </c>
      <c r="O13" s="18">
        <f>IF(IF(IF(ISERROR(-'Model inputs'!O7&gt;'Model inputs'!N13),-'Model inputs'!O7&gt;'Model inputs'!N13,IF('Model inputs'!N13="","",-'Model inputs'!O7&gt;'Model inputs'!N13))="",FALSE,IF(ISERROR(-'Model inputs'!O7&gt;'Model inputs'!N13),-'Model inputs'!O7&gt;'Model inputs'!N13,IF('Model inputs'!N13="","",-'Model inputs'!O7&gt;'Model inputs'!N13))),-'Model inputs'!O7,IF('Model inputs'!N13="","",'Model inputs'!N13))</f>
        <v>0</v>
      </c>
      <c r="P13" s="18">
        <f>IF(IF(IF(ISERROR(-'Model inputs'!P7&gt;'Model inputs'!O13),-'Model inputs'!P7&gt;'Model inputs'!O13,IF('Model inputs'!O13="","",-'Model inputs'!P7&gt;'Model inputs'!O13))="",FALSE,IF(ISERROR(-'Model inputs'!P7&gt;'Model inputs'!O13),-'Model inputs'!P7&gt;'Model inputs'!O13,IF('Model inputs'!O13="","",-'Model inputs'!P7&gt;'Model inputs'!O13))),-'Model inputs'!P7,IF('Model inputs'!O13="","",'Model inputs'!O13))</f>
        <v>0</v>
      </c>
      <c r="Q13" s="18">
        <f>IF(IF(IF(ISERROR(-'Model inputs'!Q7&gt;'Model inputs'!P13),-'Model inputs'!Q7&gt;'Model inputs'!P13,IF('Model inputs'!P13="","",-'Model inputs'!Q7&gt;'Model inputs'!P13))="",FALSE,IF(ISERROR(-'Model inputs'!Q7&gt;'Model inputs'!P13),-'Model inputs'!Q7&gt;'Model inputs'!P13,IF('Model inputs'!P13="","",-'Model inputs'!Q7&gt;'Model inputs'!P13))),-'Model inputs'!Q7,IF('Model inputs'!P13="","",'Model inputs'!P13))</f>
        <v>0</v>
      </c>
      <c r="R13" s="18">
        <f>IF(IF(IF(ISERROR(-'Model inputs'!R7&gt;'Model inputs'!Q13),-'Model inputs'!R7&gt;'Model inputs'!Q13,IF('Model inputs'!Q13="","",-'Model inputs'!R7&gt;'Model inputs'!Q13))="",FALSE,IF(ISERROR(-'Model inputs'!R7&gt;'Model inputs'!Q13),-'Model inputs'!R7&gt;'Model inputs'!Q13,IF('Model inputs'!Q13="","",-'Model inputs'!R7&gt;'Model inputs'!Q13))),-'Model inputs'!R7,IF('Model inputs'!Q13="","",'Model inputs'!Q13))</f>
        <v>0</v>
      </c>
      <c r="S13" s="18">
        <f>IF(IF(IF(ISERROR(-'Model inputs'!S7&gt;'Model inputs'!R13),-'Model inputs'!S7&gt;'Model inputs'!R13,IF('Model inputs'!R13="","",-'Model inputs'!S7&gt;'Model inputs'!R13))="",FALSE,IF(ISERROR(-'Model inputs'!S7&gt;'Model inputs'!R13),-'Model inputs'!S7&gt;'Model inputs'!R13,IF('Model inputs'!R13="","",-'Model inputs'!S7&gt;'Model inputs'!R13))),-'Model inputs'!S7,IF('Model inputs'!R13="","",'Model inputs'!R13))</f>
        <v>0</v>
      </c>
      <c r="T13" s="18">
        <f>IF(IF(IF(ISERROR(-'Model inputs'!T7&gt;'Model inputs'!S13),-'Model inputs'!T7&gt;'Model inputs'!S13,IF('Model inputs'!S13="","",-'Model inputs'!T7&gt;'Model inputs'!S13))="",FALSE,IF(ISERROR(-'Model inputs'!T7&gt;'Model inputs'!S13),-'Model inputs'!T7&gt;'Model inputs'!S13,IF('Model inputs'!S13="","",-'Model inputs'!T7&gt;'Model inputs'!S13))),-'Model inputs'!T7,IF('Model inputs'!S13="","",'Model inputs'!S13))</f>
        <v>0</v>
      </c>
      <c r="U13" s="18">
        <f>IF(IF(IF(ISERROR(-'Model inputs'!U7&gt;'Model inputs'!T13),-'Model inputs'!U7&gt;'Model inputs'!T13,IF('Model inputs'!T13="","",-'Model inputs'!U7&gt;'Model inputs'!T13))="",FALSE,IF(ISERROR(-'Model inputs'!U7&gt;'Model inputs'!T13),-'Model inputs'!U7&gt;'Model inputs'!T13,IF('Model inputs'!T13="","",-'Model inputs'!U7&gt;'Model inputs'!T13))),-'Model inputs'!U7,IF('Model inputs'!T13="","",'Model inputs'!T13))</f>
        <v>0</v>
      </c>
      <c r="V13" s="18">
        <f>IF(IF(IF(ISERROR(-'Model inputs'!V7&gt;'Model inputs'!U13),-'Model inputs'!V7&gt;'Model inputs'!U13,IF('Model inputs'!U13="","",-'Model inputs'!V7&gt;'Model inputs'!U13))="",FALSE,IF(ISERROR(-'Model inputs'!V7&gt;'Model inputs'!U13),-'Model inputs'!V7&gt;'Model inputs'!U13,IF('Model inputs'!U13="","",-'Model inputs'!V7&gt;'Model inputs'!U13))),-'Model inputs'!V7,IF('Model inputs'!U13="","",'Model inputs'!U13))</f>
        <v>0</v>
      </c>
      <c r="W13" s="18">
        <f>IF(IF(IF(ISERROR(-'Model inputs'!W7&gt;'Model inputs'!V13),-'Model inputs'!W7&gt;'Model inputs'!V13,IF('Model inputs'!V13="","",-'Model inputs'!W7&gt;'Model inputs'!V13))="",FALSE,IF(ISERROR(-'Model inputs'!W7&gt;'Model inputs'!V13),-'Model inputs'!W7&gt;'Model inputs'!V13,IF('Model inputs'!V13="","",-'Model inputs'!W7&gt;'Model inputs'!V13))),-'Model inputs'!W7,IF('Model inputs'!V13="","",'Model inputs'!V13))</f>
        <v>0</v>
      </c>
      <c r="X13" s="18">
        <f>IF(IF(IF(ISERROR(-'Model inputs'!X7&gt;'Model inputs'!W13),-'Model inputs'!X7&gt;'Model inputs'!W13,IF('Model inputs'!W13="","",-'Model inputs'!X7&gt;'Model inputs'!W13))="",FALSE,IF(ISERROR(-'Model inputs'!X7&gt;'Model inputs'!W13),-'Model inputs'!X7&gt;'Model inputs'!W13,IF('Model inputs'!W13="","",-'Model inputs'!X7&gt;'Model inputs'!W13))),-'Model inputs'!X7,IF('Model inputs'!W13="","",'Model inputs'!W13))</f>
        <v>0</v>
      </c>
      <c r="Y13" s="18">
        <f>IF(IF(IF(ISERROR(-'Model inputs'!Y7&gt;'Model inputs'!X13),-'Model inputs'!Y7&gt;'Model inputs'!X13,IF('Model inputs'!X13="","",-'Model inputs'!Y7&gt;'Model inputs'!X13))="",FALSE,IF(ISERROR(-'Model inputs'!Y7&gt;'Model inputs'!X13),-'Model inputs'!Y7&gt;'Model inputs'!X13,IF('Model inputs'!X13="","",-'Model inputs'!Y7&gt;'Model inputs'!X13))),-'Model inputs'!Y7,IF('Model inputs'!X13="","",'Model inputs'!X13))</f>
        <v>0</v>
      </c>
      <c r="Z13" s="18">
        <f>IF(IF(IF(ISERROR(-'Model inputs'!Z7&gt;'Model inputs'!Y13),-'Model inputs'!Z7&gt;'Model inputs'!Y13,IF('Model inputs'!Y13="","",-'Model inputs'!Z7&gt;'Model inputs'!Y13))="",FALSE,IF(ISERROR(-'Model inputs'!Z7&gt;'Model inputs'!Y13),-'Model inputs'!Z7&gt;'Model inputs'!Y13,IF('Model inputs'!Y13="","",-'Model inputs'!Z7&gt;'Model inputs'!Y13))),-'Model inputs'!Z7,IF('Model inputs'!Y13="","",'Model inputs'!Y13))</f>
        <v>0</v>
      </c>
    </row>
    <row r="14">
      <c r="A14" t="inlineStr" s="17">
        <is>
          <t xml:space="preserve">Green PRs</t>
        </is>
      </c>
      <c r="B14" s="18">
        <v>0</v>
      </c>
      <c r="C14" s="18">
        <f>'Model inputs'!C28*'Model inputs'!AA29</f>
        <v>90</v>
      </c>
      <c r="D14" s="18">
        <f>'Model inputs'!D28*'Model inputs'!AA29</f>
        <v>296.4705882352941</v>
      </c>
      <c r="E14" s="18">
        <f>'Model inputs'!E28*'Model inputs'!AA29</f>
        <v>502.94117647058823</v>
      </c>
      <c r="F14" s="18">
        <f>'Model inputs'!F28*'Model inputs'!AA29</f>
        <v>709.4117647058824</v>
      </c>
      <c r="G14" s="18">
        <f>'Model inputs'!G28*'Model inputs'!AA29</f>
        <v>915.8823529411765</v>
      </c>
      <c r="H14" s="18">
        <f>'Model inputs'!H28*'Model inputs'!AA29</f>
        <v>1122.3529411764705</v>
      </c>
      <c r="I14" s="18">
        <f>'Model inputs'!I28*'Model inputs'!AA29</f>
        <v>1328.8235294117649</v>
      </c>
      <c r="J14" s="18">
        <f>'Model inputs'!J28*'Model inputs'!AA29</f>
        <v>1535.2941176470588</v>
      </c>
      <c r="K14" s="18">
        <f>'Model inputs'!K28*'Model inputs'!AA29</f>
        <v>1741.764705882353</v>
      </c>
      <c r="L14" s="18">
        <f>'Model inputs'!L28*'Model inputs'!AA29</f>
        <v>1948.2352941176468</v>
      </c>
      <c r="M14" s="18">
        <f>'Model inputs'!M28*'Model inputs'!AA29</f>
        <v>2154.705882352941</v>
      </c>
      <c r="N14" s="18">
        <f>'Model inputs'!N28*'Model inputs'!AA29</f>
        <v>2361.176470588235</v>
      </c>
      <c r="O14" s="18">
        <f>'Model inputs'!O28*'Model inputs'!AA29</f>
        <v>2567.6470588235297</v>
      </c>
      <c r="P14" s="18">
        <f>'Model inputs'!P28*'Model inputs'!AA29</f>
        <v>2774.117647058824</v>
      </c>
      <c r="Q14" s="18">
        <f>'Model inputs'!Q28*'Model inputs'!AA29</f>
        <v>2980.5882352941176</v>
      </c>
      <c r="R14" s="18">
        <f>'Model inputs'!R28*'Model inputs'!AA29</f>
        <v>3187.0588235294117</v>
      </c>
      <c r="S14" s="18">
        <f>'Model inputs'!S28*'Model inputs'!AA29</f>
        <v>3393.529411764706</v>
      </c>
      <c r="T14" s="18">
        <f>'Model inputs'!T28*'Model inputs'!AA29</f>
        <v>3600</v>
      </c>
      <c r="U14" s="18">
        <f>'Model inputs'!U28*'Model inputs'!AA29</f>
        <v>3600</v>
      </c>
      <c r="V14" s="18">
        <f>'Model inputs'!V28*'Model inputs'!AA29</f>
        <v>3600</v>
      </c>
      <c r="W14" s="18">
        <f>'Model inputs'!W28*'Model inputs'!AA29</f>
        <v>3600</v>
      </c>
      <c r="X14" s="18">
        <f>'Model inputs'!X28*'Model inputs'!AA29</f>
        <v>3600</v>
      </c>
      <c r="Y14" s="18">
        <f>'Model inputs'!Y28*'Model inputs'!AA29</f>
        <v>3600</v>
      </c>
      <c r="Z14" s="18">
        <f>'Model inputs'!Z28*'Model inputs'!AA29</f>
        <v>3600</v>
      </c>
    </row>
    <row r="15">
      <c r="A15" t="inlineStr" s="17">
        <is>
          <t xml:space="preserve">Gross profit</t>
        </is>
      </c>
      <c r="B15" s="18">
        <v>0</v>
      </c>
      <c r="C15" s="18">
        <f>'Model inputs'!C24-'Model inputs'!C8</f>
        <v>832.5</v>
      </c>
      <c r="D15" s="18">
        <f>'Model inputs'!D24-'Model inputs'!D8</f>
        <v>2742.3529411764703</v>
      </c>
      <c r="E15" s="18">
        <f>'Model inputs'!E24-'Model inputs'!E8</f>
        <v>4652.2058823529405</v>
      </c>
      <c r="F15" s="18">
        <f>'Model inputs'!F24-'Model inputs'!F8</f>
        <v>6562.058823529413</v>
      </c>
      <c r="G15" s="18">
        <f>'Model inputs'!G24-'Model inputs'!G8</f>
        <v>8471.911764705881</v>
      </c>
      <c r="H15" s="18">
        <f>'Model inputs'!H24-'Model inputs'!H8</f>
        <v>10381.764705882351</v>
      </c>
      <c r="I15" s="18">
        <f>'Model inputs'!I24-'Model inputs'!I8</f>
        <v>12291.617647058825</v>
      </c>
      <c r="J15" s="18">
        <f>'Model inputs'!J24-'Model inputs'!J8</f>
        <v>14201.470588235294</v>
      </c>
      <c r="K15" s="18">
        <f>'Model inputs'!K24-'Model inputs'!K8</f>
        <v>16111.323529411764</v>
      </c>
      <c r="L15" s="18">
        <f>'Model inputs'!L24-'Model inputs'!L8</f>
        <v>18021.176470588234</v>
      </c>
      <c r="M15" s="18">
        <f>'Model inputs'!M24-'Model inputs'!M8</f>
        <v>19931.029411764703</v>
      </c>
      <c r="N15" s="18">
        <f>'Model inputs'!N24-'Model inputs'!N8</f>
        <v>21840.882352941175</v>
      </c>
      <c r="O15" s="18">
        <f>'Model inputs'!O24-'Model inputs'!O8</f>
        <v>23750.73529411765</v>
      </c>
      <c r="P15" s="18">
        <f>'Model inputs'!P24-'Model inputs'!P8</f>
        <v>25660.58823529412</v>
      </c>
      <c r="Q15" s="18">
        <f>'Model inputs'!Q24-'Model inputs'!Q8</f>
        <v>27570.441176470587</v>
      </c>
      <c r="R15" s="18">
        <f>'Model inputs'!R24-'Model inputs'!R8</f>
        <v>29480.29411764706</v>
      </c>
      <c r="S15" s="18">
        <f>'Model inputs'!S24-'Model inputs'!S8</f>
        <v>31390.147058823528</v>
      </c>
      <c r="T15" s="18">
        <f>'Model inputs'!T24-'Model inputs'!T8</f>
        <v>33300</v>
      </c>
      <c r="U15" s="18">
        <f>'Model inputs'!U24-'Model inputs'!U8</f>
        <v>33300</v>
      </c>
      <c r="V15" s="18">
        <f>'Model inputs'!V24-'Model inputs'!V8</f>
        <v>33300</v>
      </c>
      <c r="W15" s="18">
        <f>'Model inputs'!W24-'Model inputs'!W8</f>
        <v>33300</v>
      </c>
      <c r="X15" s="18">
        <f>'Model inputs'!X24-'Model inputs'!X8</f>
        <v>33300</v>
      </c>
      <c r="Y15" s="18">
        <f>'Model inputs'!Y24-'Model inputs'!Y8</f>
        <v>33300</v>
      </c>
      <c r="Z15" s="18">
        <f>'Model inputs'!Z24-'Model inputs'!Z8</f>
        <v>33300</v>
      </c>
    </row>
    <row r="16">
      <c r="A16" t="inlineStr" s="17">
        <is>
          <t xml:space="preserve">Model cost per green PR</t>
        </is>
      </c>
      <c r="AA16" s="18">
        <f>0.45</f>
        <v>0.45</v>
      </c>
    </row>
    <row r="17">
      <c r="A17" t="inlineStr" s="17">
        <is>
          <t xml:space="preserve">Month number</t>
        </is>
      </c>
      <c r="B17" s="18">
        <f>0</f>
        <v>0</v>
      </c>
      <c r="C17" s="18">
        <f>'Model inputs'!B17+1</f>
        <v>1</v>
      </c>
      <c r="D17" s="18">
        <f>'Model inputs'!C17+1</f>
        <v>2</v>
      </c>
      <c r="E17" s="18">
        <f>'Model inputs'!D17+1</f>
        <v>3</v>
      </c>
      <c r="F17" s="18">
        <f>'Model inputs'!E17+1</f>
        <v>4</v>
      </c>
      <c r="G17" s="18">
        <f>'Model inputs'!F17+1</f>
        <v>5</v>
      </c>
      <c r="H17" s="18">
        <f>'Model inputs'!G17+1</f>
        <v>6</v>
      </c>
      <c r="I17" s="18">
        <f>'Model inputs'!H17+1</f>
        <v>7</v>
      </c>
      <c r="J17" s="18">
        <f>'Model inputs'!I17+1</f>
        <v>8</v>
      </c>
      <c r="K17" s="18">
        <f>'Model inputs'!J17+1</f>
        <v>9</v>
      </c>
      <c r="L17" s="18">
        <f>'Model inputs'!K17+1</f>
        <v>10</v>
      </c>
      <c r="M17" s="18">
        <f>'Model inputs'!L17+1</f>
        <v>11</v>
      </c>
      <c r="N17" s="18">
        <f>'Model inputs'!M17+1</f>
        <v>12</v>
      </c>
      <c r="O17" s="18">
        <f>'Model inputs'!N17+1</f>
        <v>13</v>
      </c>
      <c r="P17" s="18">
        <f>'Model inputs'!O17+1</f>
        <v>14</v>
      </c>
      <c r="Q17" s="18">
        <f>'Model inputs'!P17+1</f>
        <v>15</v>
      </c>
      <c r="R17" s="18">
        <f>'Model inputs'!Q17+1</f>
        <v>16</v>
      </c>
      <c r="S17" s="18">
        <f>'Model inputs'!R17+1</f>
        <v>17</v>
      </c>
      <c r="T17" s="18">
        <f>'Model inputs'!S17+1</f>
        <v>18</v>
      </c>
      <c r="U17" s="18">
        <f>'Model inputs'!T17+1</f>
        <v>19</v>
      </c>
      <c r="V17" s="18">
        <f>'Model inputs'!U17+1</f>
        <v>20</v>
      </c>
      <c r="W17" s="18">
        <f>'Model inputs'!V17+1</f>
        <v>21</v>
      </c>
      <c r="X17" s="18">
        <f>'Model inputs'!W17+1</f>
        <v>22</v>
      </c>
      <c r="Y17" s="18">
        <f>'Model inputs'!X17+1</f>
        <v>23</v>
      </c>
      <c r="Z17" s="18">
        <f>'Model inputs'!Y17+1</f>
        <v>24</v>
      </c>
    </row>
    <row r="18">
      <c r="A18" t="inlineStr" s="17">
        <is>
          <t xml:space="preserve">Net burn</t>
        </is>
      </c>
      <c r="B18" s="18">
        <v>0</v>
      </c>
      <c r="C18" s="18">
        <f>-'Model inputs'!C20</f>
        <v>-632.5</v>
      </c>
      <c r="D18" s="18">
        <f>-'Model inputs'!D20</f>
        <v>-2542.3529411764703</v>
      </c>
      <c r="E18" s="18">
        <f>-'Model inputs'!E20</f>
        <v>-4452.2058823529405</v>
      </c>
      <c r="F18" s="18">
        <f>-'Model inputs'!F20</f>
        <v>-6362.058823529413</v>
      </c>
      <c r="G18" s="18">
        <f>-'Model inputs'!G20</f>
        <v>-8271.911764705881</v>
      </c>
      <c r="H18" s="18">
        <f>-'Model inputs'!H20</f>
        <v>-10181.764705882351</v>
      </c>
      <c r="I18" s="18">
        <f>-'Model inputs'!I20</f>
        <v>-4091.6176470588252</v>
      </c>
      <c r="J18" s="18">
        <f>-'Model inputs'!J20</f>
        <v>-6001.470588235294</v>
      </c>
      <c r="K18" s="18">
        <f>-'Model inputs'!K20</f>
        <v>-7911.323529411764</v>
      </c>
      <c r="L18" s="18">
        <f>-'Model inputs'!L20</f>
        <v>-9821.176470588234</v>
      </c>
      <c r="M18" s="18">
        <f>-'Model inputs'!M20</f>
        <v>-11731.029411764703</v>
      </c>
      <c r="N18" s="18">
        <f>-'Model inputs'!N20</f>
        <v>-13640.882352941175</v>
      </c>
      <c r="O18" s="18">
        <f>-'Model inputs'!O20</f>
        <v>-15550.73529411765</v>
      </c>
      <c r="P18" s="18">
        <f>-'Model inputs'!P20</f>
        <v>-17460.58823529412</v>
      </c>
      <c r="Q18" s="18">
        <f>-'Model inputs'!Q20</f>
        <v>-19370.441176470587</v>
      </c>
      <c r="R18" s="18">
        <f>-'Model inputs'!R20</f>
        <v>-21280.29411764706</v>
      </c>
      <c r="S18" s="18">
        <f>-'Model inputs'!S20</f>
        <v>-23190.147058823528</v>
      </c>
      <c r="T18" s="18">
        <f>-'Model inputs'!T20</f>
        <v>-25100</v>
      </c>
      <c r="U18" s="18">
        <f>-'Model inputs'!U20</f>
        <v>-25100</v>
      </c>
      <c r="V18" s="18">
        <f>-'Model inputs'!V20</f>
        <v>-25100</v>
      </c>
      <c r="W18" s="18">
        <f>-'Model inputs'!W20</f>
        <v>-25100</v>
      </c>
      <c r="X18" s="18">
        <f>-'Model inputs'!X20</f>
        <v>-25100</v>
      </c>
      <c r="Y18" s="18">
        <f>-'Model inputs'!Y20</f>
        <v>-25100</v>
      </c>
      <c r="Z18" s="18">
        <f>-'Model inputs'!Z20</f>
        <v>-25100</v>
      </c>
    </row>
    <row r="19">
      <c r="A19" t="inlineStr" s="17">
        <is>
          <t xml:space="preserve">Operating expenses</t>
        </is>
      </c>
      <c r="B19" s="18">
        <v>0</v>
      </c>
      <c r="C19" s="18">
        <f>'Model inputs'!C11+'Model inputs'!C25</f>
        <v>200</v>
      </c>
      <c r="D19" s="18">
        <f>'Model inputs'!D11+'Model inputs'!D25</f>
        <v>200</v>
      </c>
      <c r="E19" s="18">
        <f>'Model inputs'!E11+'Model inputs'!E25</f>
        <v>200</v>
      </c>
      <c r="F19" s="18">
        <f>'Model inputs'!F11+'Model inputs'!F25</f>
        <v>200</v>
      </c>
      <c r="G19" s="18">
        <f>'Model inputs'!G11+'Model inputs'!G25</f>
        <v>200</v>
      </c>
      <c r="H19" s="18">
        <f>'Model inputs'!H11+'Model inputs'!H25</f>
        <v>200</v>
      </c>
      <c r="I19" s="18">
        <f>'Model inputs'!I11+'Model inputs'!I25</f>
        <v>8200</v>
      </c>
      <c r="J19" s="18">
        <f>'Model inputs'!J11+'Model inputs'!J25</f>
        <v>8200</v>
      </c>
      <c r="K19" s="18">
        <f>'Model inputs'!K11+'Model inputs'!K25</f>
        <v>8200</v>
      </c>
      <c r="L19" s="18">
        <f>'Model inputs'!L11+'Model inputs'!L25</f>
        <v>8200</v>
      </c>
      <c r="M19" s="18">
        <f>'Model inputs'!M11+'Model inputs'!M25</f>
        <v>8200</v>
      </c>
      <c r="N19" s="18">
        <f>'Model inputs'!N11+'Model inputs'!N25</f>
        <v>8200</v>
      </c>
      <c r="O19" s="18">
        <f>'Model inputs'!O11+'Model inputs'!O25</f>
        <v>8200</v>
      </c>
      <c r="P19" s="18">
        <f>'Model inputs'!P11+'Model inputs'!P25</f>
        <v>8200</v>
      </c>
      <c r="Q19" s="18">
        <f>'Model inputs'!Q11+'Model inputs'!Q25</f>
        <v>8200</v>
      </c>
      <c r="R19" s="18">
        <f>'Model inputs'!R11+'Model inputs'!R25</f>
        <v>8200</v>
      </c>
      <c r="S19" s="18">
        <f>'Model inputs'!S11+'Model inputs'!S25</f>
        <v>8200</v>
      </c>
      <c r="T19" s="18">
        <f>'Model inputs'!T11+'Model inputs'!T25</f>
        <v>8200</v>
      </c>
      <c r="U19" s="18">
        <f>'Model inputs'!U11+'Model inputs'!U25</f>
        <v>8200</v>
      </c>
      <c r="V19" s="18">
        <f>'Model inputs'!V11+'Model inputs'!V25</f>
        <v>8200</v>
      </c>
      <c r="W19" s="18">
        <f>'Model inputs'!W11+'Model inputs'!W25</f>
        <v>8200</v>
      </c>
      <c r="X19" s="18">
        <f>'Model inputs'!X11+'Model inputs'!X25</f>
        <v>8200</v>
      </c>
      <c r="Y19" s="18">
        <f>'Model inputs'!Y11+'Model inputs'!Y25</f>
        <v>8200</v>
      </c>
      <c r="Z19" s="18">
        <f>'Model inputs'!Z11+'Model inputs'!Z25</f>
        <v>8200</v>
      </c>
    </row>
    <row r="20">
      <c r="A20" t="inlineStr" s="17">
        <is>
          <t xml:space="preserve">Operating income</t>
        </is>
      </c>
      <c r="B20" s="18">
        <v>0</v>
      </c>
      <c r="C20" s="18">
        <f>'Model inputs'!C15-'Model inputs'!C19</f>
        <v>632.5</v>
      </c>
      <c r="D20" s="18">
        <f>'Model inputs'!D15-'Model inputs'!D19</f>
        <v>2542.3529411764703</v>
      </c>
      <c r="E20" s="18">
        <f>'Model inputs'!E15-'Model inputs'!E19</f>
        <v>4452.2058823529405</v>
      </c>
      <c r="F20" s="18">
        <f>'Model inputs'!F15-'Model inputs'!F19</f>
        <v>6362.058823529413</v>
      </c>
      <c r="G20" s="18">
        <f>'Model inputs'!G15-'Model inputs'!G19</f>
        <v>8271.911764705881</v>
      </c>
      <c r="H20" s="18">
        <f>'Model inputs'!H15-'Model inputs'!H19</f>
        <v>10181.764705882351</v>
      </c>
      <c r="I20" s="18">
        <f>'Model inputs'!I15-'Model inputs'!I19</f>
        <v>4091.6176470588252</v>
      </c>
      <c r="J20" s="18">
        <f>'Model inputs'!J15-'Model inputs'!J19</f>
        <v>6001.470588235294</v>
      </c>
      <c r="K20" s="18">
        <f>'Model inputs'!K15-'Model inputs'!K19</f>
        <v>7911.323529411764</v>
      </c>
      <c r="L20" s="18">
        <f>'Model inputs'!L15-'Model inputs'!L19</f>
        <v>9821.176470588234</v>
      </c>
      <c r="M20" s="18">
        <f>'Model inputs'!M15-'Model inputs'!M19</f>
        <v>11731.029411764703</v>
      </c>
      <c r="N20" s="18">
        <f>'Model inputs'!N15-'Model inputs'!N19</f>
        <v>13640.882352941175</v>
      </c>
      <c r="O20" s="18">
        <f>'Model inputs'!O15-'Model inputs'!O19</f>
        <v>15550.73529411765</v>
      </c>
      <c r="P20" s="18">
        <f>'Model inputs'!P15-'Model inputs'!P19</f>
        <v>17460.58823529412</v>
      </c>
      <c r="Q20" s="18">
        <f>'Model inputs'!Q15-'Model inputs'!Q19</f>
        <v>19370.441176470587</v>
      </c>
      <c r="R20" s="18">
        <f>'Model inputs'!R15-'Model inputs'!R19</f>
        <v>21280.29411764706</v>
      </c>
      <c r="S20" s="18">
        <f>'Model inputs'!S15-'Model inputs'!S19</f>
        <v>23190.147058823528</v>
      </c>
      <c r="T20" s="18">
        <f>'Model inputs'!T15-'Model inputs'!T19</f>
        <v>25100</v>
      </c>
      <c r="U20" s="18">
        <f>'Model inputs'!U15-'Model inputs'!U19</f>
        <v>25100</v>
      </c>
      <c r="V20" s="18">
        <f>'Model inputs'!V15-'Model inputs'!V19</f>
        <v>25100</v>
      </c>
      <c r="W20" s="18">
        <f>'Model inputs'!W15-'Model inputs'!W19</f>
        <v>25100</v>
      </c>
      <c r="X20" s="18">
        <f>'Model inputs'!X15-'Model inputs'!X19</f>
        <v>25100</v>
      </c>
      <c r="Y20" s="18">
        <f>'Model inputs'!Y15-'Model inputs'!Y19</f>
        <v>25100</v>
      </c>
      <c r="Z20" s="18">
        <f>'Model inputs'!Z15-'Model inputs'!Z19</f>
        <v>25100</v>
      </c>
    </row>
    <row r="21">
      <c r="A21" t="inlineStr" s="17">
        <is>
          <t xml:space="preserve">Payment processing</t>
        </is>
      </c>
      <c r="B21" s="18">
        <v>0</v>
      </c>
      <c r="C21" s="18">
        <f>'Model inputs'!C24*'Model inputs'!AA22</f>
        <v>27</v>
      </c>
      <c r="D21" s="18">
        <f>'Model inputs'!D24*'Model inputs'!AA22</f>
        <v>88.94117647058823</v>
      </c>
      <c r="E21" s="18">
        <f>'Model inputs'!E24*'Model inputs'!AA22</f>
        <v>150.88235294117646</v>
      </c>
      <c r="F21" s="18">
        <f>'Model inputs'!F24*'Model inputs'!AA22</f>
        <v>212.82352941176472</v>
      </c>
      <c r="G21" s="18">
        <f>'Model inputs'!G24*'Model inputs'!AA22</f>
        <v>274.7647058823529</v>
      </c>
      <c r="H21" s="18">
        <f>'Model inputs'!H24*'Model inputs'!AA22</f>
        <v>336.7058823529411</v>
      </c>
      <c r="I21" s="18">
        <f>'Model inputs'!I24*'Model inputs'!AA22</f>
        <v>398.64705882352945</v>
      </c>
      <c r="J21" s="18">
        <f>'Model inputs'!J24*'Model inputs'!AA22</f>
        <v>460.5882352941176</v>
      </c>
      <c r="K21" s="18">
        <f>'Model inputs'!K24*'Model inputs'!AA22</f>
        <v>522.5294117647059</v>
      </c>
      <c r="L21" s="18">
        <f>'Model inputs'!L24*'Model inputs'!AA22</f>
        <v>584.470588235294</v>
      </c>
      <c r="M21" s="18">
        <f>'Model inputs'!M24*'Model inputs'!AA22</f>
        <v>646.4117647058822</v>
      </c>
      <c r="N21" s="18">
        <f>'Model inputs'!N24*'Model inputs'!AA22</f>
        <v>708.3529411764705</v>
      </c>
      <c r="O21" s="18">
        <f>'Model inputs'!O24*'Model inputs'!AA22</f>
        <v>770.2941176470589</v>
      </c>
      <c r="P21" s="18">
        <f>'Model inputs'!P24*'Model inputs'!AA22</f>
        <v>832.2352941176471</v>
      </c>
      <c r="Q21" s="18">
        <f>'Model inputs'!Q24*'Model inputs'!AA22</f>
        <v>894.1764705882352</v>
      </c>
      <c r="R21" s="18">
        <f>'Model inputs'!R24*'Model inputs'!AA22</f>
        <v>956.1176470588235</v>
      </c>
      <c r="S21" s="18">
        <f>'Model inputs'!S24*'Model inputs'!AA22</f>
        <v>1018.0588235294116</v>
      </c>
      <c r="T21" s="18">
        <f>'Model inputs'!T24*'Model inputs'!AA22</f>
        <v>1080</v>
      </c>
      <c r="U21" s="18">
        <f>'Model inputs'!U24*'Model inputs'!AA22</f>
        <v>1080</v>
      </c>
      <c r="V21" s="18">
        <f>'Model inputs'!V24*'Model inputs'!AA22</f>
        <v>1080</v>
      </c>
      <c r="W21" s="18">
        <f>'Model inputs'!W24*'Model inputs'!AA22</f>
        <v>1080</v>
      </c>
      <c r="X21" s="18">
        <f>'Model inputs'!X24*'Model inputs'!AA22</f>
        <v>1080</v>
      </c>
      <c r="Y21" s="18">
        <f>'Model inputs'!Y24*'Model inputs'!AA22</f>
        <v>1080</v>
      </c>
      <c r="Z21" s="18">
        <f>'Model inputs'!Z24*'Model inputs'!AA22</f>
        <v>1080</v>
      </c>
    </row>
    <row r="22">
      <c r="A22" t="inlineStr" s="17">
        <is>
          <t xml:space="preserve">Payment processing rate</t>
        </is>
      </c>
      <c r="AA22" s="18">
        <f>0.03</f>
        <v>0.03</v>
      </c>
    </row>
    <row r="23">
      <c r="A23" t="inlineStr" s="17">
        <is>
          <t xml:space="preserve">Price per green PR</t>
        </is>
      </c>
      <c r="AA23" s="18">
        <f>10</f>
        <v>10</v>
      </c>
    </row>
    <row r="24">
      <c r="A24" t="inlineStr" s="17">
        <is>
          <t xml:space="preserve">Revenue</t>
        </is>
      </c>
      <c r="B24" s="18">
        <v>0</v>
      </c>
      <c r="C24" s="18">
        <f>'Model inputs'!C14*'Model inputs'!AA23</f>
        <v>900</v>
      </c>
      <c r="D24" s="18">
        <f>'Model inputs'!D14*'Model inputs'!AA23</f>
        <v>2964.705882352941</v>
      </c>
      <c r="E24" s="18">
        <f>'Model inputs'!E14*'Model inputs'!AA23</f>
        <v>5029.411764705882</v>
      </c>
      <c r="F24" s="18">
        <f>'Model inputs'!F14*'Model inputs'!AA23</f>
        <v>7094.117647058824</v>
      </c>
      <c r="G24" s="18">
        <f>'Model inputs'!G14*'Model inputs'!AA23</f>
        <v>9158.823529411764</v>
      </c>
      <c r="H24" s="18">
        <f>'Model inputs'!H14*'Model inputs'!AA23</f>
        <v>11223.529411764704</v>
      </c>
      <c r="I24" s="18">
        <f>'Model inputs'!I14*'Model inputs'!AA23</f>
        <v>13288.235294117649</v>
      </c>
      <c r="J24" s="18">
        <f>'Model inputs'!J14*'Model inputs'!AA23</f>
        <v>15352.941176470587</v>
      </c>
      <c r="K24" s="18">
        <f>'Model inputs'!K14*'Model inputs'!AA23</f>
        <v>17417.647058823528</v>
      </c>
      <c r="L24" s="18">
        <f>'Model inputs'!L14*'Model inputs'!AA23</f>
        <v>19482.35294117647</v>
      </c>
      <c r="M24" s="18">
        <f>'Model inputs'!M14*'Model inputs'!AA23</f>
        <v>21547.05882352941</v>
      </c>
      <c r="N24" s="18">
        <f>'Model inputs'!N14*'Model inputs'!AA23</f>
        <v>23611.76470588235</v>
      </c>
      <c r="O24" s="18">
        <f>'Model inputs'!O14*'Model inputs'!AA23</f>
        <v>25676.470588235297</v>
      </c>
      <c r="P24" s="18">
        <f>'Model inputs'!P14*'Model inputs'!AA23</f>
        <v>27741.176470588238</v>
      </c>
      <c r="Q24" s="18">
        <f>'Model inputs'!Q14*'Model inputs'!AA23</f>
        <v>29805.882352941175</v>
      </c>
      <c r="R24" s="18">
        <f>'Model inputs'!R14*'Model inputs'!AA23</f>
        <v>31870.58823529412</v>
      </c>
      <c r="S24" s="18">
        <f>'Model inputs'!S14*'Model inputs'!AA23</f>
        <v>33935.294117647056</v>
      </c>
      <c r="T24" s="18">
        <f>'Model inputs'!T14*'Model inputs'!AA23</f>
        <v>36000</v>
      </c>
      <c r="U24" s="18">
        <f>'Model inputs'!U14*'Model inputs'!AA23</f>
        <v>36000</v>
      </c>
      <c r="V24" s="18">
        <f>'Model inputs'!V14*'Model inputs'!AA23</f>
        <v>36000</v>
      </c>
      <c r="W24" s="18">
        <f>'Model inputs'!W14*'Model inputs'!AA23</f>
        <v>36000</v>
      </c>
      <c r="X24" s="18">
        <f>'Model inputs'!X14*'Model inputs'!AA23</f>
        <v>36000</v>
      </c>
      <c r="Y24" s="18">
        <f>'Model inputs'!Y14*'Model inputs'!AA23</f>
        <v>36000</v>
      </c>
      <c r="Z24" s="18">
        <f>'Model inputs'!Z14*'Model inputs'!AA23</f>
        <v>36000</v>
      </c>
    </row>
    <row r="25">
      <c r="A25" t="inlineStr" s="17">
        <is>
          <t xml:space="preserve">Software and tools</t>
        </is>
      </c>
      <c r="B25" s="18">
        <v>0</v>
      </c>
      <c r="C25" s="18">
        <f>IF('Model inputs'!AA26="","",'Model inputs'!AA26)</f>
        <v>200</v>
      </c>
      <c r="D25" s="18">
        <f>IF('Model inputs'!AA26="","",'Model inputs'!AA26)</f>
        <v>200</v>
      </c>
      <c r="E25" s="18">
        <f>IF('Model inputs'!AA26="","",'Model inputs'!AA26)</f>
        <v>200</v>
      </c>
      <c r="F25" s="18">
        <f>IF('Model inputs'!AA26="","",'Model inputs'!AA26)</f>
        <v>200</v>
      </c>
      <c r="G25" s="18">
        <f>IF('Model inputs'!AA26="","",'Model inputs'!AA26)</f>
        <v>200</v>
      </c>
      <c r="H25" s="18">
        <f>IF('Model inputs'!AA26="","",'Model inputs'!AA26)</f>
        <v>200</v>
      </c>
      <c r="I25" s="18">
        <f>IF('Model inputs'!AA26="","",'Model inputs'!AA26)</f>
        <v>200</v>
      </c>
      <c r="J25" s="18">
        <f>IF('Model inputs'!AA26="","",'Model inputs'!AA26)</f>
        <v>200</v>
      </c>
      <c r="K25" s="18">
        <f>IF('Model inputs'!AA26="","",'Model inputs'!AA26)</f>
        <v>200</v>
      </c>
      <c r="L25" s="18">
        <f>IF('Model inputs'!AA26="","",'Model inputs'!AA26)</f>
        <v>200</v>
      </c>
      <c r="M25" s="18">
        <f>IF('Model inputs'!AA26="","",'Model inputs'!AA26)</f>
        <v>200</v>
      </c>
      <c r="N25" s="18">
        <f>IF('Model inputs'!AA26="","",'Model inputs'!AA26)</f>
        <v>200</v>
      </c>
      <c r="O25" s="18">
        <f>IF('Model inputs'!AA26="","",'Model inputs'!AA26)</f>
        <v>200</v>
      </c>
      <c r="P25" s="18">
        <f>IF('Model inputs'!AA26="","",'Model inputs'!AA26)</f>
        <v>200</v>
      </c>
      <c r="Q25" s="18">
        <f>IF('Model inputs'!AA26="","",'Model inputs'!AA26)</f>
        <v>200</v>
      </c>
      <c r="R25" s="18">
        <f>IF('Model inputs'!AA26="","",'Model inputs'!AA26)</f>
        <v>200</v>
      </c>
      <c r="S25" s="18">
        <f>IF('Model inputs'!AA26="","",'Model inputs'!AA26)</f>
        <v>200</v>
      </c>
      <c r="T25" s="18">
        <f>IF('Model inputs'!AA26="","",'Model inputs'!AA26)</f>
        <v>200</v>
      </c>
      <c r="U25" s="18">
        <f>IF('Model inputs'!AA26="","",'Model inputs'!AA26)</f>
        <v>200</v>
      </c>
      <c r="V25" s="18">
        <f>IF('Model inputs'!AA26="","",'Model inputs'!AA26)</f>
        <v>200</v>
      </c>
      <c r="W25" s="18">
        <f>IF('Model inputs'!AA26="","",'Model inputs'!AA26)</f>
        <v>200</v>
      </c>
      <c r="X25" s="18">
        <f>IF('Model inputs'!AA26="","",'Model inputs'!AA26)</f>
        <v>200</v>
      </c>
      <c r="Y25" s="18">
        <f>IF('Model inputs'!AA26="","",'Model inputs'!AA26)</f>
        <v>200</v>
      </c>
      <c r="Z25" s="18">
        <f>IF('Model inputs'!AA26="","",'Model inputs'!AA26)</f>
        <v>200</v>
      </c>
    </row>
    <row r="26">
      <c r="A26" t="inlineStr" s="17">
        <is>
          <t xml:space="preserve">Software and tools per month</t>
        </is>
      </c>
      <c r="AA26" s="18">
        <f>200</f>
        <v>200</v>
      </c>
    </row>
    <row r="27">
      <c r="A27" t="inlineStr" s="17">
        <is>
          <t xml:space="preserve">Unpaid founder months</t>
        </is>
      </c>
      <c r="AA27" s="18">
        <f>6</f>
        <v>6</v>
      </c>
    </row>
    <row r="28">
      <c r="A28" t="inlineStr" s="17">
        <is>
          <t xml:space="preserve">Attempted PRs · Kedge P&amp;L, Burn &amp; Runway</t>
        </is>
      </c>
      <c r="B28" s="18">
        <v>0</v>
      </c>
      <c r="C28" s="18">
        <f>'Model inputs'!C32*'Model inputs'!AA33</f>
        <v>150</v>
      </c>
      <c r="D28" s="18">
        <f>'Model inputs'!D32*'Model inputs'!AA33</f>
        <v>494.1176470588235</v>
      </c>
      <c r="E28" s="18">
        <f>'Model inputs'!E32*'Model inputs'!AA33</f>
        <v>838.2352941176471</v>
      </c>
      <c r="F28" s="18">
        <f>'Model inputs'!F32*'Model inputs'!AA33</f>
        <v>1182.3529411764707</v>
      </c>
      <c r="G28" s="18">
        <f>'Model inputs'!G32*'Model inputs'!AA33</f>
        <v>1526.4705882352941</v>
      </c>
      <c r="H28" s="18">
        <f>'Model inputs'!H32*'Model inputs'!AA33</f>
        <v>1870.5882352941176</v>
      </c>
      <c r="I28" s="18">
        <f>'Model inputs'!I32*'Model inputs'!AA33</f>
        <v>2214.7058823529414</v>
      </c>
      <c r="J28" s="18">
        <f>'Model inputs'!J32*'Model inputs'!AA33</f>
        <v>2558.823529411765</v>
      </c>
      <c r="K28" s="18">
        <f>'Model inputs'!K32*'Model inputs'!AA33</f>
        <v>2902.9411764705883</v>
      </c>
      <c r="L28" s="18">
        <f>'Model inputs'!L32*'Model inputs'!AA33</f>
        <v>3247.0588235294117</v>
      </c>
      <c r="M28" s="18">
        <f>'Model inputs'!M32*'Model inputs'!AA33</f>
        <v>3591.176470588235</v>
      </c>
      <c r="N28" s="18">
        <f>'Model inputs'!N32*'Model inputs'!AA33</f>
        <v>3935.294117647059</v>
      </c>
      <c r="O28" s="18">
        <f>'Model inputs'!O32*'Model inputs'!AA33</f>
        <v>4279.411764705883</v>
      </c>
      <c r="P28" s="18">
        <f>'Model inputs'!P32*'Model inputs'!AA33</f>
        <v>4623.529411764706</v>
      </c>
      <c r="Q28" s="18">
        <f>'Model inputs'!Q32*'Model inputs'!AA33</f>
        <v>4967.64705882353</v>
      </c>
      <c r="R28" s="18">
        <f>'Model inputs'!R32*'Model inputs'!AA33</f>
        <v>5311.764705882353</v>
      </c>
      <c r="S28" s="18">
        <f>'Model inputs'!S32*'Model inputs'!AA33</f>
        <v>5655.882352941177</v>
      </c>
      <c r="T28" s="18">
        <f>'Model inputs'!T32*'Model inputs'!AA33</f>
        <v>6000</v>
      </c>
      <c r="U28" s="18">
        <f>'Model inputs'!U32*'Model inputs'!AA33</f>
        <v>6000</v>
      </c>
      <c r="V28" s="18">
        <f>'Model inputs'!V32*'Model inputs'!AA33</f>
        <v>6000</v>
      </c>
      <c r="W28" s="18">
        <f>'Model inputs'!W32*'Model inputs'!AA33</f>
        <v>6000</v>
      </c>
      <c r="X28" s="18">
        <f>'Model inputs'!X32*'Model inputs'!AA33</f>
        <v>6000</v>
      </c>
      <c r="Y28" s="18">
        <f>'Model inputs'!Y32*'Model inputs'!AA33</f>
        <v>6000</v>
      </c>
      <c r="Z28" s="18">
        <f>'Model inputs'!Z32*'Model inputs'!AA33</f>
        <v>6000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</row>
    <row r="29">
      <c r="A29" t="inlineStr" s="17">
        <is>
          <t xml:space="preserve">Green PR rate · Green PRs</t>
        </is>
      </c>
      <c r="AA29" s="18">
        <f>0.6</f>
        <v>0.6</v>
      </c>
    </row>
    <row r="30">
      <c r="A30" t="inlineStr" s="17">
        <is>
          <t xml:space="preserve">Month number · Kedge P&amp;L, Burn &amp; Runway</t>
        </is>
      </c>
      <c r="B30" s="18">
        <f>IF('Model inputs'!B17="","",'Model inputs'!B17)</f>
        <v>0</v>
      </c>
      <c r="C30" s="18">
        <f>IF('Model inputs'!C17="","",'Model inputs'!C17)</f>
        <v>1</v>
      </c>
      <c r="D30" s="18">
        <f>IF('Model inputs'!D17="","",'Model inputs'!D17)</f>
        <v>2</v>
      </c>
      <c r="E30" s="18">
        <f>IF('Model inputs'!E17="","",'Model inputs'!E17)</f>
        <v>3</v>
      </c>
      <c r="F30" s="18">
        <f>IF('Model inputs'!F17="","",'Model inputs'!F17)</f>
        <v>4</v>
      </c>
      <c r="G30" s="18">
        <f>IF('Model inputs'!G17="","",'Model inputs'!G17)</f>
        <v>5</v>
      </c>
      <c r="H30" s="18">
        <f>IF('Model inputs'!H17="","",'Model inputs'!H17)</f>
        <v>6</v>
      </c>
      <c r="I30" s="18">
        <f>IF('Model inputs'!I17="","",'Model inputs'!I17)</f>
        <v>7</v>
      </c>
      <c r="J30" s="18">
        <f>IF('Model inputs'!J17="","",'Model inputs'!J17)</f>
        <v>8</v>
      </c>
      <c r="K30" s="18">
        <f>IF('Model inputs'!K17="","",'Model inputs'!K17)</f>
        <v>9</v>
      </c>
      <c r="L30" s="18">
        <f>IF('Model inputs'!L17="","",'Model inputs'!L17)</f>
        <v>10</v>
      </c>
      <c r="M30" s="18">
        <f>IF('Model inputs'!M17="","",'Model inputs'!M17)</f>
        <v>11</v>
      </c>
      <c r="N30" s="18">
        <f>IF('Model inputs'!N17="","",'Model inputs'!N17)</f>
        <v>12</v>
      </c>
      <c r="O30" s="18">
        <f>IF('Model inputs'!O17="","",'Model inputs'!O17)</f>
        <v>13</v>
      </c>
      <c r="P30" s="18">
        <f>IF('Model inputs'!P17="","",'Model inputs'!P17)</f>
        <v>14</v>
      </c>
      <c r="Q30" s="18">
        <f>IF('Model inputs'!Q17="","",'Model inputs'!Q17)</f>
        <v>15</v>
      </c>
      <c r="R30" s="18">
        <f>IF('Model inputs'!R17="","",'Model inputs'!R17)</f>
        <v>16</v>
      </c>
      <c r="S30" s="18">
        <f>IF('Model inputs'!S17="","",'Model inputs'!S17)</f>
        <v>17</v>
      </c>
      <c r="T30" s="18">
        <f>IF('Model inputs'!T17="","",'Model inputs'!T17)</f>
        <v>18</v>
      </c>
      <c r="U30" s="18">
        <f>IF('Model inputs'!U17="","",'Model inputs'!U17)</f>
        <v>19</v>
      </c>
      <c r="V30" s="18">
        <f>IF('Model inputs'!V17="","",'Model inputs'!V17)</f>
        <v>20</v>
      </c>
      <c r="W30" s="18">
        <f>IF('Model inputs'!W17="","",'Model inputs'!W17)</f>
        <v>21</v>
      </c>
      <c r="X30" s="18">
        <f>IF('Model inputs'!X17="","",'Model inputs'!X17)</f>
        <v>22</v>
      </c>
      <c r="Y30" s="18">
        <f>IF('Model inputs'!Y17="","",'Model inputs'!Y17)</f>
        <v>23</v>
      </c>
      <c r="Z30" s="18">
        <f>IF('Model inputs'!Z17="","",'Model inputs'!Z17)</f>
        <v>24</v>
      </c>
      <c r="AB30" s="18">
        <f>0</f>
        <v>0</v>
      </c>
      <c r="AC30" s="18">
        <f>0</f>
        <v>0</v>
      </c>
      <c r="AD30" s="18">
        <f>0</f>
        <v>0</v>
      </c>
      <c r="AE30" s="18">
        <f>0</f>
        <v>0</v>
      </c>
      <c r="AF30" s="18">
        <f>0</f>
        <v>0</v>
      </c>
      <c r="AG30" s="18">
        <f>0</f>
        <v>0</v>
      </c>
      <c r="AH30" s="18">
        <f>0</f>
        <v>0</v>
      </c>
      <c r="AI30" s="18">
        <f>0</f>
        <v>0</v>
      </c>
    </row>
    <row r="31">
      <c r="A31" t="inlineStr" s="17">
        <is>
          <t xml:space="preserve">Starting cash · Cash balance</t>
        </is>
      </c>
      <c r="AA31" s="18">
        <f>0</f>
        <v>0</v>
      </c>
    </row>
    <row r="32">
      <c r="A32" t="inlineStr" s="17">
        <is>
          <t xml:space="preserve">Active teams · Funding needed to date</t>
        </is>
      </c>
      <c r="B32" s="18">
        <f>0</f>
        <v>0</v>
      </c>
      <c r="C32" s="18">
        <f>IF(IF(IF(ISERROR('Model inputs'!C17&gt;='Model inputs'!AA34),'Model inputs'!C17&gt;='Model inputs'!AA34,IF(OR('Model inputs'!C17="",'Model inputs'!AA34=""),"",'Model inputs'!C17&gt;='Model inputs'!AA34))="",FALSE,IF(ISERROR('Model inputs'!C17&gt;='Model inputs'!AA34),'Model inputs'!C17&gt;='Model inputs'!AA34,IF(OR('Model inputs'!C17="",'Model inputs'!AA34=""),"",'Model inputs'!C17&gt;='Model inputs'!AA34))),IF('Model inputs'!AA35="","",'Model inputs'!AA35),'Model inputs'!AA36+('Model inputs'!AA35-'Model inputs'!AA36)*('Model inputs'!C17-1)/('Model inputs'!AA34-1))</f>
        <v>5</v>
      </c>
      <c r="D32" s="18">
        <f>IF(IF(IF(ISERROR('Model inputs'!D17&gt;='Model inputs'!AA34),'Model inputs'!D17&gt;='Model inputs'!AA34,IF(OR('Model inputs'!D17="",'Model inputs'!AA34=""),"",'Model inputs'!D17&gt;='Model inputs'!AA34))="",FALSE,IF(ISERROR('Model inputs'!D17&gt;='Model inputs'!AA34),'Model inputs'!D17&gt;='Model inputs'!AA34,IF(OR('Model inputs'!D17="",'Model inputs'!AA34=""),"",'Model inputs'!D17&gt;='Model inputs'!AA34))),IF('Model inputs'!AA35="","",'Model inputs'!AA35),'Model inputs'!AA36+('Model inputs'!AA35-'Model inputs'!AA36)*('Model inputs'!D17-1)/('Model inputs'!AA34-1))</f>
        <v>16.470588235294116</v>
      </c>
      <c r="E32" s="18">
        <f>IF(IF(IF(ISERROR('Model inputs'!E17&gt;='Model inputs'!AA34),'Model inputs'!E17&gt;='Model inputs'!AA34,IF(OR('Model inputs'!E17="",'Model inputs'!AA34=""),"",'Model inputs'!E17&gt;='Model inputs'!AA34))="",FALSE,IF(ISERROR('Model inputs'!E17&gt;='Model inputs'!AA34),'Model inputs'!E17&gt;='Model inputs'!AA34,IF(OR('Model inputs'!E17="",'Model inputs'!AA34=""),"",'Model inputs'!E17&gt;='Model inputs'!AA34))),IF('Model inputs'!AA35="","",'Model inputs'!AA35),'Model inputs'!AA36+('Model inputs'!AA35-'Model inputs'!AA36)*('Model inputs'!E17-1)/('Model inputs'!AA34-1))</f>
        <v>27.941176470588236</v>
      </c>
      <c r="F32" s="18">
        <f>IF(IF(IF(ISERROR('Model inputs'!F17&gt;='Model inputs'!AA34),'Model inputs'!F17&gt;='Model inputs'!AA34,IF(OR('Model inputs'!F17="",'Model inputs'!AA34=""),"",'Model inputs'!F17&gt;='Model inputs'!AA34))="",FALSE,IF(ISERROR('Model inputs'!F17&gt;='Model inputs'!AA34),'Model inputs'!F17&gt;='Model inputs'!AA34,IF(OR('Model inputs'!F17="",'Model inputs'!AA34=""),"",'Model inputs'!F17&gt;='Model inputs'!AA34))),IF('Model inputs'!AA35="","",'Model inputs'!AA35),'Model inputs'!AA36+('Model inputs'!AA35-'Model inputs'!AA36)*('Model inputs'!F17-1)/('Model inputs'!AA34-1))</f>
        <v>39.411764705882355</v>
      </c>
      <c r="G32" s="18">
        <f>IF(IF(IF(ISERROR('Model inputs'!G17&gt;='Model inputs'!AA34),'Model inputs'!G17&gt;='Model inputs'!AA34,IF(OR('Model inputs'!G17="",'Model inputs'!AA34=""),"",'Model inputs'!G17&gt;='Model inputs'!AA34))="",FALSE,IF(ISERROR('Model inputs'!G17&gt;='Model inputs'!AA34),'Model inputs'!G17&gt;='Model inputs'!AA34,IF(OR('Model inputs'!G17="",'Model inputs'!AA34=""),"",'Model inputs'!G17&gt;='Model inputs'!AA34))),IF('Model inputs'!AA35="","",'Model inputs'!AA35),'Model inputs'!AA36+('Model inputs'!AA35-'Model inputs'!AA36)*('Model inputs'!G17-1)/('Model inputs'!AA34-1))</f>
        <v>50.88235294117647</v>
      </c>
      <c r="H32" s="18">
        <f>IF(IF(IF(ISERROR('Model inputs'!H17&gt;='Model inputs'!AA34),'Model inputs'!H17&gt;='Model inputs'!AA34,IF(OR('Model inputs'!H17="",'Model inputs'!AA34=""),"",'Model inputs'!H17&gt;='Model inputs'!AA34))="",FALSE,IF(ISERROR('Model inputs'!H17&gt;='Model inputs'!AA34),'Model inputs'!H17&gt;='Model inputs'!AA34,IF(OR('Model inputs'!H17="",'Model inputs'!AA34=""),"",'Model inputs'!H17&gt;='Model inputs'!AA34))),IF('Model inputs'!AA35="","",'Model inputs'!AA35),'Model inputs'!AA36+('Model inputs'!AA35-'Model inputs'!AA36)*('Model inputs'!H17-1)/('Model inputs'!AA34-1))</f>
        <v>62.35294117647059</v>
      </c>
      <c r="I32" s="18">
        <f>IF(IF(IF(ISERROR('Model inputs'!I17&gt;='Model inputs'!AA34),'Model inputs'!I17&gt;='Model inputs'!AA34,IF(OR('Model inputs'!I17="",'Model inputs'!AA34=""),"",'Model inputs'!I17&gt;='Model inputs'!AA34))="",FALSE,IF(ISERROR('Model inputs'!I17&gt;='Model inputs'!AA34),'Model inputs'!I17&gt;='Model inputs'!AA34,IF(OR('Model inputs'!I17="",'Model inputs'!AA34=""),"",'Model inputs'!I17&gt;='Model inputs'!AA34))),IF('Model inputs'!AA35="","",'Model inputs'!AA35),'Model inputs'!AA36+('Model inputs'!AA35-'Model inputs'!AA36)*('Model inputs'!I17-1)/('Model inputs'!AA34-1))</f>
        <v>73.82352941176471</v>
      </c>
      <c r="J32" s="18">
        <f>IF(IF(IF(ISERROR('Model inputs'!J17&gt;='Model inputs'!AA34),'Model inputs'!J17&gt;='Model inputs'!AA34,IF(OR('Model inputs'!J17="",'Model inputs'!AA34=""),"",'Model inputs'!J17&gt;='Model inputs'!AA34))="",FALSE,IF(ISERROR('Model inputs'!J17&gt;='Model inputs'!AA34),'Model inputs'!J17&gt;='Model inputs'!AA34,IF(OR('Model inputs'!J17="",'Model inputs'!AA34=""),"",'Model inputs'!J17&gt;='Model inputs'!AA34))),IF('Model inputs'!AA35="","",'Model inputs'!AA35),'Model inputs'!AA36+('Model inputs'!AA35-'Model inputs'!AA36)*('Model inputs'!J17-1)/('Model inputs'!AA34-1))</f>
        <v>85.29411764705883</v>
      </c>
      <c r="K32" s="18">
        <f>IF(IF(IF(ISERROR('Model inputs'!K17&gt;='Model inputs'!AA34),'Model inputs'!K17&gt;='Model inputs'!AA34,IF(OR('Model inputs'!K17="",'Model inputs'!AA34=""),"",'Model inputs'!K17&gt;='Model inputs'!AA34))="",FALSE,IF(ISERROR('Model inputs'!K17&gt;='Model inputs'!AA34),'Model inputs'!K17&gt;='Model inputs'!AA34,IF(OR('Model inputs'!K17="",'Model inputs'!AA34=""),"",'Model inputs'!K17&gt;='Model inputs'!AA34))),IF('Model inputs'!AA35="","",'Model inputs'!AA35),'Model inputs'!AA36+('Model inputs'!AA35-'Model inputs'!AA36)*('Model inputs'!K17-1)/('Model inputs'!AA34-1))</f>
        <v>96.76470588235294</v>
      </c>
      <c r="L32" s="18">
        <f>IF(IF(IF(ISERROR('Model inputs'!L17&gt;='Model inputs'!AA34),'Model inputs'!L17&gt;='Model inputs'!AA34,IF(OR('Model inputs'!L17="",'Model inputs'!AA34=""),"",'Model inputs'!L17&gt;='Model inputs'!AA34))="",FALSE,IF(ISERROR('Model inputs'!L17&gt;='Model inputs'!AA34),'Model inputs'!L17&gt;='Model inputs'!AA34,IF(OR('Model inputs'!L17="",'Model inputs'!AA34=""),"",'Model inputs'!L17&gt;='Model inputs'!AA34))),IF('Model inputs'!AA35="","",'Model inputs'!AA35),'Model inputs'!AA36+('Model inputs'!AA35-'Model inputs'!AA36)*('Model inputs'!L17-1)/('Model inputs'!AA34-1))</f>
        <v>108.23529411764706</v>
      </c>
      <c r="M32" s="18">
        <f>IF(IF(IF(ISERROR('Model inputs'!M17&gt;='Model inputs'!AA34),'Model inputs'!M17&gt;='Model inputs'!AA34,IF(OR('Model inputs'!M17="",'Model inputs'!AA34=""),"",'Model inputs'!M17&gt;='Model inputs'!AA34))="",FALSE,IF(ISERROR('Model inputs'!M17&gt;='Model inputs'!AA34),'Model inputs'!M17&gt;='Model inputs'!AA34,IF(OR('Model inputs'!M17="",'Model inputs'!AA34=""),"",'Model inputs'!M17&gt;='Model inputs'!AA34))),IF('Model inputs'!AA35="","",'Model inputs'!AA35),'Model inputs'!AA36+('Model inputs'!AA35-'Model inputs'!AA36)*('Model inputs'!M17-1)/('Model inputs'!AA34-1))</f>
        <v>119.70588235294117</v>
      </c>
      <c r="N32" s="18">
        <f>IF(IF(IF(ISERROR('Model inputs'!N17&gt;='Model inputs'!AA34),'Model inputs'!N17&gt;='Model inputs'!AA34,IF(OR('Model inputs'!N17="",'Model inputs'!AA34=""),"",'Model inputs'!N17&gt;='Model inputs'!AA34))="",FALSE,IF(ISERROR('Model inputs'!N17&gt;='Model inputs'!AA34),'Model inputs'!N17&gt;='Model inputs'!AA34,IF(OR('Model inputs'!N17="",'Model inputs'!AA34=""),"",'Model inputs'!N17&gt;='Model inputs'!AA34))),IF('Model inputs'!AA35="","",'Model inputs'!AA35),'Model inputs'!AA36+('Model inputs'!AA35-'Model inputs'!AA36)*('Model inputs'!N17-1)/('Model inputs'!AA34-1))</f>
        <v>131.1764705882353</v>
      </c>
      <c r="O32" s="18">
        <f>IF(IF(IF(ISERROR('Model inputs'!O17&gt;='Model inputs'!AA34),'Model inputs'!O17&gt;='Model inputs'!AA34,IF(OR('Model inputs'!O17="",'Model inputs'!AA34=""),"",'Model inputs'!O17&gt;='Model inputs'!AA34))="",FALSE,IF(ISERROR('Model inputs'!O17&gt;='Model inputs'!AA34),'Model inputs'!O17&gt;='Model inputs'!AA34,IF(OR('Model inputs'!O17="",'Model inputs'!AA34=""),"",'Model inputs'!O17&gt;='Model inputs'!AA34))),IF('Model inputs'!AA35="","",'Model inputs'!AA35),'Model inputs'!AA36+('Model inputs'!AA35-'Model inputs'!AA36)*('Model inputs'!O17-1)/('Model inputs'!AA34-1))</f>
        <v>142.64705882352942</v>
      </c>
      <c r="P32" s="18">
        <f>IF(IF(IF(ISERROR('Model inputs'!P17&gt;='Model inputs'!AA34),'Model inputs'!P17&gt;='Model inputs'!AA34,IF(OR('Model inputs'!P17="",'Model inputs'!AA34=""),"",'Model inputs'!P17&gt;='Model inputs'!AA34))="",FALSE,IF(ISERROR('Model inputs'!P17&gt;='Model inputs'!AA34),'Model inputs'!P17&gt;='Model inputs'!AA34,IF(OR('Model inputs'!P17="",'Model inputs'!AA34=""),"",'Model inputs'!P17&gt;='Model inputs'!AA34))),IF('Model inputs'!AA35="","",'Model inputs'!AA35),'Model inputs'!AA36+('Model inputs'!AA35-'Model inputs'!AA36)*('Model inputs'!P17-1)/('Model inputs'!AA34-1))</f>
        <v>154.11764705882354</v>
      </c>
      <c r="Q32" s="18">
        <f>IF(IF(IF(ISERROR('Model inputs'!Q17&gt;='Model inputs'!AA34),'Model inputs'!Q17&gt;='Model inputs'!AA34,IF(OR('Model inputs'!Q17="",'Model inputs'!AA34=""),"",'Model inputs'!Q17&gt;='Model inputs'!AA34))="",FALSE,IF(ISERROR('Model inputs'!Q17&gt;='Model inputs'!AA34),'Model inputs'!Q17&gt;='Model inputs'!AA34,IF(OR('Model inputs'!Q17="",'Model inputs'!AA34=""),"",'Model inputs'!Q17&gt;='Model inputs'!AA34))),IF('Model inputs'!AA35="","",'Model inputs'!AA35),'Model inputs'!AA36+('Model inputs'!AA35-'Model inputs'!AA36)*('Model inputs'!Q17-1)/('Model inputs'!AA34-1))</f>
        <v>165.58823529411765</v>
      </c>
      <c r="R32" s="18">
        <f>IF(IF(IF(ISERROR('Model inputs'!R17&gt;='Model inputs'!AA34),'Model inputs'!R17&gt;='Model inputs'!AA34,IF(OR('Model inputs'!R17="",'Model inputs'!AA34=""),"",'Model inputs'!R17&gt;='Model inputs'!AA34))="",FALSE,IF(ISERROR('Model inputs'!R17&gt;='Model inputs'!AA34),'Model inputs'!R17&gt;='Model inputs'!AA34,IF(OR('Model inputs'!R17="",'Model inputs'!AA34=""),"",'Model inputs'!R17&gt;='Model inputs'!AA34))),IF('Model inputs'!AA35="","",'Model inputs'!AA35),'Model inputs'!AA36+('Model inputs'!AA35-'Model inputs'!AA36)*('Model inputs'!R17-1)/('Model inputs'!AA34-1))</f>
        <v>177.05882352941177</v>
      </c>
      <c r="S32" s="18">
        <f>IF(IF(IF(ISERROR('Model inputs'!S17&gt;='Model inputs'!AA34),'Model inputs'!S17&gt;='Model inputs'!AA34,IF(OR('Model inputs'!S17="",'Model inputs'!AA34=""),"",'Model inputs'!S17&gt;='Model inputs'!AA34))="",FALSE,IF(ISERROR('Model inputs'!S17&gt;='Model inputs'!AA34),'Model inputs'!S17&gt;='Model inputs'!AA34,IF(OR('Model inputs'!S17="",'Model inputs'!AA34=""),"",'Model inputs'!S17&gt;='Model inputs'!AA34))),IF('Model inputs'!AA35="","",'Model inputs'!AA35),'Model inputs'!AA36+('Model inputs'!AA35-'Model inputs'!AA36)*('Model inputs'!S17-1)/('Model inputs'!AA34-1))</f>
        <v>188.52941176470588</v>
      </c>
      <c r="T32" s="18">
        <f>IF(IF(IF(ISERROR('Model inputs'!T17&gt;='Model inputs'!AA34),'Model inputs'!T17&gt;='Model inputs'!AA34,IF(OR('Model inputs'!T17="",'Model inputs'!AA34=""),"",'Model inputs'!T17&gt;='Model inputs'!AA34))="",FALSE,IF(ISERROR('Model inputs'!T17&gt;='Model inputs'!AA34),'Model inputs'!T17&gt;='Model inputs'!AA34,IF(OR('Model inputs'!T17="",'Model inputs'!AA34=""),"",'Model inputs'!T17&gt;='Model inputs'!AA34))),IF('Model inputs'!AA35="","",'Model inputs'!AA35),'Model inputs'!AA36+('Model inputs'!AA35-'Model inputs'!AA36)*('Model inputs'!T17-1)/('Model inputs'!AA34-1))</f>
        <v>200</v>
      </c>
      <c r="U32" s="18">
        <f>IF(IF(IF(ISERROR('Model inputs'!U17&gt;='Model inputs'!AA34),'Model inputs'!U17&gt;='Model inputs'!AA34,IF(OR('Model inputs'!U17="",'Model inputs'!AA34=""),"",'Model inputs'!U17&gt;='Model inputs'!AA34))="",FALSE,IF(ISERROR('Model inputs'!U17&gt;='Model inputs'!AA34),'Model inputs'!U17&gt;='Model inputs'!AA34,IF(OR('Model inputs'!U17="",'Model inputs'!AA34=""),"",'Model inputs'!U17&gt;='Model inputs'!AA34))),IF('Model inputs'!AA35="","",'Model inputs'!AA35),'Model inputs'!AA36+('Model inputs'!AA35-'Model inputs'!AA36)*('Model inputs'!U17-1)/('Model inputs'!AA34-1))</f>
        <v>200</v>
      </c>
      <c r="V32" s="18">
        <f>IF(IF(IF(ISERROR('Model inputs'!V17&gt;='Model inputs'!AA34),'Model inputs'!V17&gt;='Model inputs'!AA34,IF(OR('Model inputs'!V17="",'Model inputs'!AA34=""),"",'Model inputs'!V17&gt;='Model inputs'!AA34))="",FALSE,IF(ISERROR('Model inputs'!V17&gt;='Model inputs'!AA34),'Model inputs'!V17&gt;='Model inputs'!AA34,IF(OR('Model inputs'!V17="",'Model inputs'!AA34=""),"",'Model inputs'!V17&gt;='Model inputs'!AA34))),IF('Model inputs'!AA35="","",'Model inputs'!AA35),'Model inputs'!AA36+('Model inputs'!AA35-'Model inputs'!AA36)*('Model inputs'!V17-1)/('Model inputs'!AA34-1))</f>
        <v>200</v>
      </c>
      <c r="W32" s="18">
        <f>IF(IF(IF(ISERROR('Model inputs'!W17&gt;='Model inputs'!AA34),'Model inputs'!W17&gt;='Model inputs'!AA34,IF(OR('Model inputs'!W17="",'Model inputs'!AA34=""),"",'Model inputs'!W17&gt;='Model inputs'!AA34))="",FALSE,IF(ISERROR('Model inputs'!W17&gt;='Model inputs'!AA34),'Model inputs'!W17&gt;='Model inputs'!AA34,IF(OR('Model inputs'!W17="",'Model inputs'!AA34=""),"",'Model inputs'!W17&gt;='Model inputs'!AA34))),IF('Model inputs'!AA35="","",'Model inputs'!AA35),'Model inputs'!AA36+('Model inputs'!AA35-'Model inputs'!AA36)*('Model inputs'!W17-1)/('Model inputs'!AA34-1))</f>
        <v>200</v>
      </c>
      <c r="X32" s="18">
        <f>IF(IF(IF(ISERROR('Model inputs'!X17&gt;='Model inputs'!AA34),'Model inputs'!X17&gt;='Model inputs'!AA34,IF(OR('Model inputs'!X17="",'Model inputs'!AA34=""),"",'Model inputs'!X17&gt;='Model inputs'!AA34))="",FALSE,IF(ISERROR('Model inputs'!X17&gt;='Model inputs'!AA34),'Model inputs'!X17&gt;='Model inputs'!AA34,IF(OR('Model inputs'!X17="",'Model inputs'!AA34=""),"",'Model inputs'!X17&gt;='Model inputs'!AA34))),IF('Model inputs'!AA35="","",'Model inputs'!AA35),'Model inputs'!AA36+('Model inputs'!AA35-'Model inputs'!AA36)*('Model inputs'!X17-1)/('Model inputs'!AA34-1))</f>
        <v>200</v>
      </c>
      <c r="Y32" s="18">
        <f>IF(IF(IF(ISERROR('Model inputs'!Y17&gt;='Model inputs'!AA34),'Model inputs'!Y17&gt;='Model inputs'!AA34,IF(OR('Model inputs'!Y17="",'Model inputs'!AA34=""),"",'Model inputs'!Y17&gt;='Model inputs'!AA34))="",FALSE,IF(ISERROR('Model inputs'!Y17&gt;='Model inputs'!AA34),'Model inputs'!Y17&gt;='Model inputs'!AA34,IF(OR('Model inputs'!Y17="",'Model inputs'!AA34=""),"",'Model inputs'!Y17&gt;='Model inputs'!AA34))),IF('Model inputs'!AA35="","",'Model inputs'!AA35),'Model inputs'!AA36+('Model inputs'!AA35-'Model inputs'!AA36)*('Model inputs'!Y17-1)/('Model inputs'!AA34-1))</f>
        <v>200</v>
      </c>
      <c r="Z32" s="18">
        <f>IF(IF(IF(ISERROR('Model inputs'!Z17&gt;='Model inputs'!AA34),'Model inputs'!Z17&gt;='Model inputs'!AA34,IF(OR('Model inputs'!Z17="",'Model inputs'!AA34=""),"",'Model inputs'!Z17&gt;='Model inputs'!AA34))="",FALSE,IF(ISERROR('Model inputs'!Z17&gt;='Model inputs'!AA34),'Model inputs'!Z17&gt;='Model inputs'!AA34,IF(OR('Model inputs'!Z17="",'Model inputs'!AA34=""),"",'Model inputs'!Z17&gt;='Model inputs'!AA34))),IF('Model inputs'!AA35="","",'Model inputs'!AA35),'Model inputs'!AA36+('Model inputs'!AA35-'Model inputs'!AA36)*('Model inputs'!Z17-1)/('Model inputs'!AA34-1))</f>
        <v>200</v>
      </c>
      <c r="AB32" s="18">
        <f>0</f>
        <v>0</v>
      </c>
      <c r="AC32" s="18">
        <f>0</f>
        <v>0</v>
      </c>
      <c r="AD32" s="18">
        <f>0</f>
        <v>0</v>
      </c>
      <c r="AE32" s="18">
        <f>0</f>
        <v>0</v>
      </c>
      <c r="AF32" s="18">
        <f>0</f>
        <v>0</v>
      </c>
      <c r="AG32" s="18">
        <f>0</f>
        <v>0</v>
      </c>
      <c r="AH32" s="18">
        <f>0</f>
        <v>0</v>
      </c>
      <c r="AI32" s="18">
        <f>0</f>
        <v>0</v>
      </c>
    </row>
    <row r="33">
      <c r="A33" t="inlineStr" s="17">
        <is>
          <t xml:space="preserve">PRs submitted per team · Attempted PRs · Kedge P&amp;L, Burn &amp; Runway</t>
        </is>
      </c>
      <c r="AA33" s="18">
        <f>30</f>
        <v>30</v>
      </c>
    </row>
    <row r="34">
      <c r="A34" t="inlineStr" s="17">
        <is>
          <t xml:space="preserve">Months to full ramp · Active teams · Funding needed to date</t>
        </is>
      </c>
      <c r="AA34" s="18">
        <f>18</f>
        <v>18</v>
      </c>
    </row>
    <row r="35">
      <c r="A35" t="inlineStr" s="17">
        <is>
          <t xml:space="preserve">Teams at full ramp · Active teams · Funding needed to date</t>
        </is>
      </c>
      <c r="AA35" s="18">
        <f>200</f>
        <v>200</v>
      </c>
    </row>
    <row r="36">
      <c r="A36" t="inlineStr" s="17">
        <is>
          <t xml:space="preserve">Teams at launch · Active teams · Funding needed to date</t>
        </is>
      </c>
      <c r="AA36" s="18">
        <f>5</f>
        <v>5</v>
      </c>
    </row>
  </sheetData>
  <mergeCells count="2">
    <mergeCell ref="A1:AI1"/>
    <mergeCell ref="A2:AI2"/>
  </mergeCells>
</worksheet>
</file>