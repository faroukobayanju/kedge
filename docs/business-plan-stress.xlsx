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Kedge P&amp;L, Burn &amp; Runway" sheetId="1" r:id="rId1"/>
    <sheet name="Stress Unit Economics &amp; Funding" sheetId="2" r:id="rId2"/>
    <sheet name="Model inputs" sheetId="3" r:id="rId3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;(&quot;$&quot;#,##0)"/>
    <numFmt numFmtId="165" formatCode="0.0%"/>
    <numFmt numFmtId="166" formatCode="#,##0.0;(#,##0.0)"/>
    <numFmt numFmtId="167" formatCode="&quot;$&quot;#,##0.00;(&quot;$&quot;#,##0.00)"/>
    <numFmt numFmtId="168" formatCode="#,##0;(#,##0)"/>
    <numFmt numFmtId="169" formatCode="#,##0.###;(#,##0.###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i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0" fontId="3" fillId="0" borderId="0" xfId="0" applyFont="1" applyAlignment="1">
      <alignment vertical="center" horizontal="left"/>
    </xf>
    <xf numFmtId="164" fontId="3" fillId="0" borderId="0" xfId="0" applyNumberFormat="1" applyFont="1" applyAlignment="1">
      <alignment vertical="center" horizontal="right"/>
    </xf>
    <xf numFmtId="0" fontId="4" fillId="0" borderId="0" xfId="0" applyFont="1" applyAlignment="1">
      <alignment vertical="center" horizontal="left"/>
    </xf>
    <xf numFmtId="165" fontId="4" fillId="0" borderId="0" xfId="0" applyNumberFormat="1" applyFon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9" fontId="0" fillId="0" borderId="0" xfId="0" applyNumberFormat="1" applyAlignment="1">
      <alignment vertical="center"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Kedge P&amp;L, Burn &amp; Runway</t>
        </is>
      </c>
    </row>
    <row r="2" ht="20" customHeight="1">
      <c r="A2" t="inlineStr" s="2">
        <is>
          <t xml:space="preserve">Operating Model · Stress: Sonnet on big repos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Revenue</t>
        </is>
      </c>
      <c r="B5" s="7">
        <f>'Model inputs'!C16*'Model inputs'!AA25</f>
        <v>600</v>
      </c>
      <c r="C5" s="7">
        <f>'Model inputs'!D16*'Model inputs'!AA25</f>
        <v>1090.9090909090908</v>
      </c>
      <c r="D5" s="7">
        <f>'Model inputs'!E16*'Model inputs'!AA25</f>
        <v>1581.8181818181815</v>
      </c>
      <c r="E5" s="7">
        <f>'Model inputs'!F16*'Model inputs'!AA25</f>
        <v>2072.727272727273</v>
      </c>
      <c r="F5" s="7">
        <f>'Model inputs'!G16*'Model inputs'!AA25</f>
        <v>2563.636363636363</v>
      </c>
      <c r="G5" s="7">
        <f>'Model inputs'!H16*'Model inputs'!AA25</f>
        <v>3054.5454545454545</v>
      </c>
      <c r="H5" s="7">
        <f>'Model inputs'!I16*'Model inputs'!AA25</f>
        <v>3545.4545454545455</v>
      </c>
      <c r="I5" s="7">
        <f>'Model inputs'!J16*'Model inputs'!AA25</f>
        <v>4036.363636363636</v>
      </c>
      <c r="J5" s="7">
        <f>'Model inputs'!K16*'Model inputs'!AA25</f>
        <v>4527.272727272727</v>
      </c>
      <c r="K5" s="7">
        <f>'Model inputs'!L16*'Model inputs'!AA25</f>
        <v>5018.181818181818</v>
      </c>
      <c r="L5" s="7">
        <f>'Model inputs'!M16*'Model inputs'!AA25</f>
        <v>5509.090909090909</v>
      </c>
      <c r="M5" s="7">
        <f>'Model inputs'!N16*'Model inputs'!AA25</f>
        <v>6000</v>
      </c>
      <c r="N5" s="7">
        <f>'Model inputs'!O16*'Model inputs'!AA25</f>
        <v>6000</v>
      </c>
      <c r="O5" s="7">
        <f>'Model inputs'!P16*'Model inputs'!AA25</f>
        <v>6000</v>
      </c>
      <c r="P5" s="7">
        <f>'Model inputs'!Q16*'Model inputs'!AA25</f>
        <v>6000</v>
      </c>
      <c r="Q5" s="7">
        <f>'Model inputs'!R16*'Model inputs'!AA25</f>
        <v>6000</v>
      </c>
      <c r="R5" s="7">
        <f>'Model inputs'!S16*'Model inputs'!AA25</f>
        <v>6000</v>
      </c>
      <c r="S5" s="7">
        <f>'Model inputs'!T16*'Model inputs'!AA25</f>
        <v>6000</v>
      </c>
      <c r="T5" s="7">
        <f>'Model inputs'!U16*'Model inputs'!AA25</f>
        <v>6000</v>
      </c>
      <c r="U5" s="7">
        <f>'Model inputs'!V16*'Model inputs'!AA25</f>
        <v>6000</v>
      </c>
      <c r="V5" s="7">
        <f>'Model inputs'!W16*'Model inputs'!AA25</f>
        <v>6000</v>
      </c>
      <c r="W5" s="7">
        <f>'Model inputs'!X16*'Model inputs'!AA25</f>
        <v>6000</v>
      </c>
      <c r="X5" s="7">
        <f>'Model inputs'!Y16*'Model inputs'!AA25</f>
        <v>6000</v>
      </c>
      <c r="Y5" s="7">
        <f>'Model inputs'!Z16*'Model inputs'!AA25</f>
        <v>6000</v>
      </c>
    </row>
    <row r="6">
      <c r="A6" t="inlineStr" s="8">
        <is>
          <t xml:space="preserve">AI model costs</t>
        </is>
      </c>
      <c r="B6" s="9">
        <f>'Model inputs'!C16*'Model inputs'!AA18</f>
        <v>171</v>
      </c>
      <c r="C6" s="9">
        <f>'Model inputs'!D16*'Model inputs'!AA18</f>
        <v>310.9090909090909</v>
      </c>
      <c r="D6" s="9">
        <f>'Model inputs'!E16*'Model inputs'!AA18</f>
        <v>450.81818181818176</v>
      </c>
      <c r="E6" s="9">
        <f>'Model inputs'!F16*'Model inputs'!AA18</f>
        <v>590.7272727272727</v>
      </c>
      <c r="F6" s="9">
        <f>'Model inputs'!G16*'Model inputs'!AA18</f>
        <v>730.6363636363635</v>
      </c>
      <c r="G6" s="9">
        <f>'Model inputs'!H16*'Model inputs'!AA18</f>
        <v>870.5454545454545</v>
      </c>
      <c r="H6" s="9">
        <f>'Model inputs'!I16*'Model inputs'!AA18</f>
        <v>1010.4545454545455</v>
      </c>
      <c r="I6" s="9">
        <f>'Model inputs'!J16*'Model inputs'!AA18</f>
        <v>1150.3636363636363</v>
      </c>
      <c r="J6" s="9">
        <f>'Model inputs'!K16*'Model inputs'!AA18</f>
        <v>1290.2727272727273</v>
      </c>
      <c r="K6" s="9">
        <f>'Model inputs'!L16*'Model inputs'!AA18</f>
        <v>1430.1818181818182</v>
      </c>
      <c r="L6" s="9">
        <f>'Model inputs'!M16*'Model inputs'!AA18</f>
        <v>1570.090909090909</v>
      </c>
      <c r="M6" s="9">
        <f>'Model inputs'!N16*'Model inputs'!AA18</f>
        <v>1710</v>
      </c>
      <c r="N6" s="9">
        <f>'Model inputs'!O16*'Model inputs'!AA18</f>
        <v>1710</v>
      </c>
      <c r="O6" s="9">
        <f>'Model inputs'!P16*'Model inputs'!AA18</f>
        <v>1710</v>
      </c>
      <c r="P6" s="9">
        <f>'Model inputs'!Q16*'Model inputs'!AA18</f>
        <v>1710</v>
      </c>
      <c r="Q6" s="9">
        <f>'Model inputs'!R16*'Model inputs'!AA18</f>
        <v>1710</v>
      </c>
      <c r="R6" s="9">
        <f>'Model inputs'!S16*'Model inputs'!AA18</f>
        <v>1710</v>
      </c>
      <c r="S6" s="9">
        <f>'Model inputs'!T16*'Model inputs'!AA18</f>
        <v>1710</v>
      </c>
      <c r="T6" s="9">
        <f>'Model inputs'!U16*'Model inputs'!AA18</f>
        <v>1710</v>
      </c>
      <c r="U6" s="9">
        <f>'Model inputs'!V16*'Model inputs'!AA18</f>
        <v>1710</v>
      </c>
      <c r="V6" s="9">
        <f>'Model inputs'!W16*'Model inputs'!AA18</f>
        <v>1710</v>
      </c>
      <c r="W6" s="9">
        <f>'Model inputs'!X16*'Model inputs'!AA18</f>
        <v>1710</v>
      </c>
      <c r="X6" s="9">
        <f>'Model inputs'!Y16*'Model inputs'!AA18</f>
        <v>1710</v>
      </c>
      <c r="Y6" s="9">
        <f>'Model inputs'!Z16*'Model inputs'!AA18</f>
        <v>1710</v>
      </c>
    </row>
    <row r="7">
      <c r="A7" t="inlineStr" s="8">
        <is>
          <t xml:space="preserve">Payment processing</t>
        </is>
      </c>
      <c r="B7" s="9">
        <f>'Kedge P&amp;L, Burn &amp; Runway'!B5*'Model inputs'!AA24</f>
        <v>18</v>
      </c>
      <c r="C7" s="9">
        <f>'Kedge P&amp;L, Burn &amp; Runway'!C5*'Model inputs'!AA24</f>
        <v>32.72727272727272</v>
      </c>
      <c r="D7" s="9">
        <f>'Kedge P&amp;L, Burn &amp; Runway'!D5*'Model inputs'!AA24</f>
        <v>47.454545454545446</v>
      </c>
      <c r="E7" s="9">
        <f>'Kedge P&amp;L, Burn &amp; Runway'!E5*'Model inputs'!AA24</f>
        <v>62.18181818181819</v>
      </c>
      <c r="F7" s="9">
        <f>'Kedge P&amp;L, Burn &amp; Runway'!F5*'Model inputs'!AA24</f>
        <v>76.90909090909089</v>
      </c>
      <c r="G7" s="9">
        <f>'Kedge P&amp;L, Burn &amp; Runway'!G5*'Model inputs'!AA24</f>
        <v>91.63636363636363</v>
      </c>
      <c r="H7" s="9">
        <f>'Kedge P&amp;L, Burn &amp; Runway'!H5*'Model inputs'!AA24</f>
        <v>106.36363636363636</v>
      </c>
      <c r="I7" s="9">
        <f>'Kedge P&amp;L, Burn &amp; Runway'!I5*'Model inputs'!AA24</f>
        <v>121.09090909090908</v>
      </c>
      <c r="J7" s="9">
        <f>'Kedge P&amp;L, Burn &amp; Runway'!J5*'Model inputs'!AA24</f>
        <v>135.8181818181818</v>
      </c>
      <c r="K7" s="9">
        <f>'Kedge P&amp;L, Burn &amp; Runway'!K5*'Model inputs'!AA24</f>
        <v>150.54545454545453</v>
      </c>
      <c r="L7" s="9">
        <f>'Kedge P&amp;L, Burn &amp; Runway'!L5*'Model inputs'!AA24</f>
        <v>165.27272727272725</v>
      </c>
      <c r="M7" s="9">
        <f>'Kedge P&amp;L, Burn &amp; Runway'!M5*'Model inputs'!AA24</f>
        <v>180</v>
      </c>
      <c r="N7" s="9">
        <f>'Kedge P&amp;L, Burn &amp; Runway'!N5*'Model inputs'!AA24</f>
        <v>180</v>
      </c>
      <c r="O7" s="9">
        <f>'Kedge P&amp;L, Burn &amp; Runway'!O5*'Model inputs'!AA24</f>
        <v>180</v>
      </c>
      <c r="P7" s="9">
        <f>'Kedge P&amp;L, Burn &amp; Runway'!P5*'Model inputs'!AA24</f>
        <v>180</v>
      </c>
      <c r="Q7" s="9">
        <f>'Kedge P&amp;L, Burn &amp; Runway'!Q5*'Model inputs'!AA24</f>
        <v>180</v>
      </c>
      <c r="R7" s="9">
        <f>'Kedge P&amp;L, Burn &amp; Runway'!R5*'Model inputs'!AA24</f>
        <v>180</v>
      </c>
      <c r="S7" s="9">
        <f>'Kedge P&amp;L, Burn &amp; Runway'!S5*'Model inputs'!AA24</f>
        <v>180</v>
      </c>
      <c r="T7" s="9">
        <f>'Kedge P&amp;L, Burn &amp; Runway'!T5*'Model inputs'!AA24</f>
        <v>180</v>
      </c>
      <c r="U7" s="9">
        <f>'Kedge P&amp;L, Burn &amp; Runway'!U5*'Model inputs'!AA24</f>
        <v>180</v>
      </c>
      <c r="V7" s="9">
        <f>'Kedge P&amp;L, Burn &amp; Runway'!V5*'Model inputs'!AA24</f>
        <v>180</v>
      </c>
      <c r="W7" s="9">
        <f>'Kedge P&amp;L, Burn &amp; Runway'!W5*'Model inputs'!AA24</f>
        <v>180</v>
      </c>
      <c r="X7" s="9">
        <f>'Kedge P&amp;L, Burn &amp; Runway'!X5*'Model inputs'!AA24</f>
        <v>180</v>
      </c>
      <c r="Y7" s="9">
        <f>'Kedge P&amp;L, Burn &amp; Runway'!Y5*'Model inputs'!AA24</f>
        <v>180</v>
      </c>
    </row>
    <row r="8">
      <c r="A8" t="inlineStr" s="10">
        <is>
          <t xml:space="preserve">Cost of goods sold</t>
        </is>
      </c>
      <c r="B8" s="9">
        <f>'Kedge P&amp;L, Burn &amp; Runway'!B6+'Kedge P&amp;L, Burn &amp; Runway'!B7</f>
        <v>189</v>
      </c>
      <c r="C8" s="9">
        <f>'Kedge P&amp;L, Burn &amp; Runway'!C6+'Kedge P&amp;L, Burn &amp; Runway'!C7</f>
        <v>343.6363636363636</v>
      </c>
      <c r="D8" s="9">
        <f>'Kedge P&amp;L, Burn &amp; Runway'!D6+'Kedge P&amp;L, Burn &amp; Runway'!D7</f>
        <v>498.2727272727272</v>
      </c>
      <c r="E8" s="9">
        <f>'Kedge P&amp;L, Burn &amp; Runway'!E6+'Kedge P&amp;L, Burn &amp; Runway'!E7</f>
        <v>652.909090909091</v>
      </c>
      <c r="F8" s="9">
        <f>'Kedge P&amp;L, Burn &amp; Runway'!F6+'Kedge P&amp;L, Burn &amp; Runway'!F7</f>
        <v>807.5454545454544</v>
      </c>
      <c r="G8" s="9">
        <f>'Kedge P&amp;L, Burn &amp; Runway'!G6+'Kedge P&amp;L, Burn &amp; Runway'!G7</f>
        <v>962.1818181818181</v>
      </c>
      <c r="H8" s="9">
        <f>'Kedge P&amp;L, Burn &amp; Runway'!H6+'Kedge P&amp;L, Burn &amp; Runway'!H7</f>
        <v>1116.8181818181818</v>
      </c>
      <c r="I8" s="9">
        <f>'Kedge P&amp;L, Burn &amp; Runway'!I6+'Kedge P&amp;L, Burn &amp; Runway'!I7</f>
        <v>1271.4545454545453</v>
      </c>
      <c r="J8" s="9">
        <f>'Kedge P&amp;L, Burn &amp; Runway'!J6+'Kedge P&amp;L, Burn &amp; Runway'!J7</f>
        <v>1426.090909090909</v>
      </c>
      <c r="K8" s="9">
        <f>'Kedge P&amp;L, Burn &amp; Runway'!K6+'Kedge P&amp;L, Burn &amp; Runway'!K7</f>
        <v>1580.7272727272727</v>
      </c>
      <c r="L8" s="9">
        <f>'Kedge P&amp;L, Burn &amp; Runway'!L6+'Kedge P&amp;L, Burn &amp; Runway'!L7</f>
        <v>1735.3636363636363</v>
      </c>
      <c r="M8" s="9">
        <f>'Kedge P&amp;L, Burn &amp; Runway'!M6+'Kedge P&amp;L, Burn &amp; Runway'!M7</f>
        <v>1890</v>
      </c>
      <c r="N8" s="9">
        <f>'Kedge P&amp;L, Burn &amp; Runway'!N6+'Kedge P&amp;L, Burn &amp; Runway'!N7</f>
        <v>1890</v>
      </c>
      <c r="O8" s="9">
        <f>'Kedge P&amp;L, Burn &amp; Runway'!O6+'Kedge P&amp;L, Burn &amp; Runway'!O7</f>
        <v>1890</v>
      </c>
      <c r="P8" s="9">
        <f>'Kedge P&amp;L, Burn &amp; Runway'!P6+'Kedge P&amp;L, Burn &amp; Runway'!P7</f>
        <v>1890</v>
      </c>
      <c r="Q8" s="9">
        <f>'Kedge P&amp;L, Burn &amp; Runway'!Q6+'Kedge P&amp;L, Burn &amp; Runway'!Q7</f>
        <v>1890</v>
      </c>
      <c r="R8" s="9">
        <f>'Kedge P&amp;L, Burn &amp; Runway'!R6+'Kedge P&amp;L, Burn &amp; Runway'!R7</f>
        <v>1890</v>
      </c>
      <c r="S8" s="9">
        <f>'Kedge P&amp;L, Burn &amp; Runway'!S6+'Kedge P&amp;L, Burn &amp; Runway'!S7</f>
        <v>1890</v>
      </c>
      <c r="T8" s="9">
        <f>'Kedge P&amp;L, Burn &amp; Runway'!T6+'Kedge P&amp;L, Burn &amp; Runway'!T7</f>
        <v>1890</v>
      </c>
      <c r="U8" s="9">
        <f>'Kedge P&amp;L, Burn &amp; Runway'!U6+'Kedge P&amp;L, Burn &amp; Runway'!U7</f>
        <v>1890</v>
      </c>
      <c r="V8" s="9">
        <f>'Kedge P&amp;L, Burn &amp; Runway'!V6+'Kedge P&amp;L, Burn &amp; Runway'!V7</f>
        <v>1890</v>
      </c>
      <c r="W8" s="9">
        <f>'Kedge P&amp;L, Burn &amp; Runway'!W6+'Kedge P&amp;L, Burn &amp; Runway'!W7</f>
        <v>1890</v>
      </c>
      <c r="X8" s="9">
        <f>'Kedge P&amp;L, Burn &amp; Runway'!X6+'Kedge P&amp;L, Burn &amp; Runway'!X7</f>
        <v>1890</v>
      </c>
      <c r="Y8" s="9">
        <f>'Kedge P&amp;L, Burn &amp; Runway'!Y6+'Kedge P&amp;L, Burn &amp; Runway'!Y7</f>
        <v>1890</v>
      </c>
    </row>
    <row r="9">
      <c r="A9" t="inlineStr" s="11">
        <is>
          <t xml:space="preserve">Gross profit</t>
        </is>
      </c>
      <c r="B9" s="12">
        <f>'Kedge P&amp;L, Burn &amp; Runway'!B5-'Kedge P&amp;L, Burn &amp; Runway'!B8</f>
        <v>411</v>
      </c>
      <c r="C9" s="12">
        <f>'Kedge P&amp;L, Burn &amp; Runway'!C5-'Kedge P&amp;L, Burn &amp; Runway'!C8</f>
        <v>747.2727272727271</v>
      </c>
      <c r="D9" s="12">
        <f>'Kedge P&amp;L, Burn &amp; Runway'!D5-'Kedge P&amp;L, Burn &amp; Runway'!D8</f>
        <v>1083.5454545454543</v>
      </c>
      <c r="E9" s="12">
        <f>'Kedge P&amp;L, Burn &amp; Runway'!E5-'Kedge P&amp;L, Burn &amp; Runway'!E8</f>
        <v>1419.818181818182</v>
      </c>
      <c r="F9" s="12">
        <f>'Kedge P&amp;L, Burn &amp; Runway'!F5-'Kedge P&amp;L, Burn &amp; Runway'!F8</f>
        <v>1756.0909090909086</v>
      </c>
      <c r="G9" s="12">
        <f>'Kedge P&amp;L, Burn &amp; Runway'!G5-'Kedge P&amp;L, Burn &amp; Runway'!G8</f>
        <v>2092.3636363636365</v>
      </c>
      <c r="H9" s="12">
        <f>'Kedge P&amp;L, Burn &amp; Runway'!H5-'Kedge P&amp;L, Burn &amp; Runway'!H8</f>
        <v>2428.636363636364</v>
      </c>
      <c r="I9" s="12">
        <f>'Kedge P&amp;L, Burn &amp; Runway'!I5-'Kedge P&amp;L, Burn &amp; Runway'!I8</f>
        <v>2764.909090909091</v>
      </c>
      <c r="J9" s="12">
        <f>'Kedge P&amp;L, Burn &amp; Runway'!J5-'Kedge P&amp;L, Burn &amp; Runway'!J8</f>
        <v>3101.181818181818</v>
      </c>
      <c r="K9" s="12">
        <f>'Kedge P&amp;L, Burn &amp; Runway'!K5-'Kedge P&amp;L, Burn &amp; Runway'!K8</f>
        <v>3437.454545454545</v>
      </c>
      <c r="L9" s="12">
        <f>'Kedge P&amp;L, Burn &amp; Runway'!L5-'Kedge P&amp;L, Burn &amp; Runway'!L8</f>
        <v>3773.727272727273</v>
      </c>
      <c r="M9" s="12">
        <f>'Kedge P&amp;L, Burn &amp; Runway'!M5-'Kedge P&amp;L, Burn &amp; Runway'!M8</f>
        <v>4110</v>
      </c>
      <c r="N9" s="12">
        <f>'Kedge P&amp;L, Burn &amp; Runway'!N5-'Kedge P&amp;L, Burn &amp; Runway'!N8</f>
        <v>4110</v>
      </c>
      <c r="O9" s="12">
        <f>'Kedge P&amp;L, Burn &amp; Runway'!O5-'Kedge P&amp;L, Burn &amp; Runway'!O8</f>
        <v>4110</v>
      </c>
      <c r="P9" s="12">
        <f>'Kedge P&amp;L, Burn &amp; Runway'!P5-'Kedge P&amp;L, Burn &amp; Runway'!P8</f>
        <v>4110</v>
      </c>
      <c r="Q9" s="12">
        <f>'Kedge P&amp;L, Burn &amp; Runway'!Q5-'Kedge P&amp;L, Burn &amp; Runway'!Q8</f>
        <v>4110</v>
      </c>
      <c r="R9" s="12">
        <f>'Kedge P&amp;L, Burn &amp; Runway'!R5-'Kedge P&amp;L, Burn &amp; Runway'!R8</f>
        <v>4110</v>
      </c>
      <c r="S9" s="12">
        <f>'Kedge P&amp;L, Burn &amp; Runway'!S5-'Kedge P&amp;L, Burn &amp; Runway'!S8</f>
        <v>4110</v>
      </c>
      <c r="T9" s="12">
        <f>'Kedge P&amp;L, Burn &amp; Runway'!T5-'Kedge P&amp;L, Burn &amp; Runway'!T8</f>
        <v>4110</v>
      </c>
      <c r="U9" s="12">
        <f>'Kedge P&amp;L, Burn &amp; Runway'!U5-'Kedge P&amp;L, Burn &amp; Runway'!U8</f>
        <v>4110</v>
      </c>
      <c r="V9" s="12">
        <f>'Kedge P&amp;L, Burn &amp; Runway'!V5-'Kedge P&amp;L, Burn &amp; Runway'!V8</f>
        <v>4110</v>
      </c>
      <c r="W9" s="12">
        <f>'Kedge P&amp;L, Burn &amp; Runway'!W5-'Kedge P&amp;L, Burn &amp; Runway'!W8</f>
        <v>4110</v>
      </c>
      <c r="X9" s="12">
        <f>'Kedge P&amp;L, Burn &amp; Runway'!X5-'Kedge P&amp;L, Burn &amp; Runway'!X8</f>
        <v>4110</v>
      </c>
      <c r="Y9" s="12">
        <f>'Kedge P&amp;L, Burn &amp; Runway'!Y5-'Kedge P&amp;L, Burn &amp; Runway'!Y8</f>
        <v>4110</v>
      </c>
    </row>
    <row r="10">
      <c r="A10" t="inlineStr" s="13">
        <is>
          <t xml:space="preserve">Gross margin</t>
        </is>
      </c>
      <c r="B10" s="14">
        <f>IFERROR('Kedge P&amp;L, Burn &amp; Runway'!B9/'Kedge P&amp;L, Burn &amp; Runway'!B5,"")</f>
        <v>0.685</v>
      </c>
      <c r="C10" s="14">
        <f>IFERROR('Kedge P&amp;L, Burn &amp; Runway'!C9/'Kedge P&amp;L, Burn &amp; Runway'!C5,"")</f>
        <v>0.6849999999999999</v>
      </c>
      <c r="D10" s="14">
        <f>IFERROR('Kedge P&amp;L, Burn &amp; Runway'!D9/'Kedge P&amp;L, Burn &amp; Runway'!D5,"")</f>
        <v>0.6849999999999999</v>
      </c>
      <c r="E10" s="14">
        <f>IFERROR('Kedge P&amp;L, Burn &amp; Runway'!E9/'Kedge P&amp;L, Burn &amp; Runway'!E5,"")</f>
        <v>0.685</v>
      </c>
      <c r="F10" s="14">
        <f>IFERROR('Kedge P&amp;L, Burn &amp; Runway'!F9/'Kedge P&amp;L, Burn &amp; Runway'!F5,"")</f>
        <v>0.6849999999999999</v>
      </c>
      <c r="G10" s="14">
        <f>IFERROR('Kedge P&amp;L, Burn &amp; Runway'!G9/'Kedge P&amp;L, Burn &amp; Runway'!G5,"")</f>
        <v>0.685</v>
      </c>
      <c r="H10" s="14">
        <f>IFERROR('Kedge P&amp;L, Burn &amp; Runway'!H9/'Kedge P&amp;L, Burn &amp; Runway'!H5,"")</f>
        <v>0.685</v>
      </c>
      <c r="I10" s="14">
        <f>IFERROR('Kedge P&amp;L, Burn &amp; Runway'!I9/'Kedge P&amp;L, Burn &amp; Runway'!I5,"")</f>
        <v>0.685</v>
      </c>
      <c r="J10" s="14">
        <f>IFERROR('Kedge P&amp;L, Burn &amp; Runway'!J9/'Kedge P&amp;L, Burn &amp; Runway'!J5,"")</f>
        <v>0.685</v>
      </c>
      <c r="K10" s="14">
        <f>IFERROR('Kedge P&amp;L, Burn &amp; Runway'!K9/'Kedge P&amp;L, Burn &amp; Runway'!K5,"")</f>
        <v>0.6849999999999999</v>
      </c>
      <c r="L10" s="14">
        <f>IFERROR('Kedge P&amp;L, Burn &amp; Runway'!L9/'Kedge P&amp;L, Burn &amp; Runway'!L5,"")</f>
        <v>0.685</v>
      </c>
      <c r="M10" s="14">
        <f>IFERROR('Kedge P&amp;L, Burn &amp; Runway'!M9/'Kedge P&amp;L, Burn &amp; Runway'!M5,"")</f>
        <v>0.685</v>
      </c>
      <c r="N10" s="14">
        <f>IFERROR('Kedge P&amp;L, Burn &amp; Runway'!N9/'Kedge P&amp;L, Burn &amp; Runway'!N5,"")</f>
        <v>0.685</v>
      </c>
      <c r="O10" s="14">
        <f>IFERROR('Kedge P&amp;L, Burn &amp; Runway'!O9/'Kedge P&amp;L, Burn &amp; Runway'!O5,"")</f>
        <v>0.685</v>
      </c>
      <c r="P10" s="14">
        <f>IFERROR('Kedge P&amp;L, Burn &amp; Runway'!P9/'Kedge P&amp;L, Burn &amp; Runway'!P5,"")</f>
        <v>0.685</v>
      </c>
      <c r="Q10" s="14">
        <f>IFERROR('Kedge P&amp;L, Burn &amp; Runway'!Q9/'Kedge P&amp;L, Burn &amp; Runway'!Q5,"")</f>
        <v>0.685</v>
      </c>
      <c r="R10" s="14">
        <f>IFERROR('Kedge P&amp;L, Burn &amp; Runway'!R9/'Kedge P&amp;L, Burn &amp; Runway'!R5,"")</f>
        <v>0.685</v>
      </c>
      <c r="S10" s="14">
        <f>IFERROR('Kedge P&amp;L, Burn &amp; Runway'!S9/'Kedge P&amp;L, Burn &amp; Runway'!S5,"")</f>
        <v>0.685</v>
      </c>
      <c r="T10" s="14">
        <f>IFERROR('Kedge P&amp;L, Burn &amp; Runway'!T9/'Kedge P&amp;L, Burn &amp; Runway'!T5,"")</f>
        <v>0.685</v>
      </c>
      <c r="U10" s="14">
        <f>IFERROR('Kedge P&amp;L, Burn &amp; Runway'!U9/'Kedge P&amp;L, Burn &amp; Runway'!U5,"")</f>
        <v>0.685</v>
      </c>
      <c r="V10" s="14">
        <f>IFERROR('Kedge P&amp;L, Burn &amp; Runway'!V9/'Kedge P&amp;L, Burn &amp; Runway'!V5,"")</f>
        <v>0.685</v>
      </c>
      <c r="W10" s="14">
        <f>IFERROR('Kedge P&amp;L, Burn &amp; Runway'!W9/'Kedge P&amp;L, Burn &amp; Runway'!W5,"")</f>
        <v>0.685</v>
      </c>
      <c r="X10" s="14">
        <f>IFERROR('Kedge P&amp;L, Burn &amp; Runway'!X9/'Kedge P&amp;L, Burn &amp; Runway'!X5,"")</f>
        <v>0.685</v>
      </c>
      <c r="Y10" s="14">
        <f>IFERROR('Kedge P&amp;L, Burn &amp; Runway'!Y9/'Kedge P&amp;L, Burn &amp; Runway'!Y5,"")</f>
        <v>0.685</v>
      </c>
    </row>
    <row r="11">
      <c r="A11" t="inlineStr" s="8">
        <is>
          <t xml:space="preserve">Founder salaries</t>
        </is>
      </c>
      <c r="B11" s="9">
        <f>IF(IF(IF(ISERROR('Model inputs'!C19&gt;'Model inputs'!AA31),'Model inputs'!C19&gt;'Model inputs'!AA31,IF(OR('Model inputs'!C19="",'Model inputs'!AA31=""),"",'Model inputs'!C19&gt;'Model inputs'!AA31))="",FALSE,IF(ISERROR('Model inputs'!C19&gt;'Model inputs'!AA31),'Model inputs'!C19&gt;'Model inputs'!AA31,IF(OR('Model inputs'!C19="",'Model inputs'!AA31=""),"",'Model inputs'!C19&gt;'Model inputs'!AA31))),'Model inputs'!AA13*'Model inputs'!AA11,0)</f>
        <v>0</v>
      </c>
      <c r="C11" s="9">
        <f>IF(IF(IF(ISERROR('Model inputs'!D19&gt;'Model inputs'!AA31),'Model inputs'!D19&gt;'Model inputs'!AA31,IF(OR('Model inputs'!D19="",'Model inputs'!AA31=""),"",'Model inputs'!D19&gt;'Model inputs'!AA31))="",FALSE,IF(ISERROR('Model inputs'!D19&gt;'Model inputs'!AA31),'Model inputs'!D19&gt;'Model inputs'!AA31,IF(OR('Model inputs'!D19="",'Model inputs'!AA31=""),"",'Model inputs'!D19&gt;'Model inputs'!AA31))),'Model inputs'!AA13*'Model inputs'!AA11,0)</f>
        <v>0</v>
      </c>
      <c r="D11" s="9">
        <f>IF(IF(IF(ISERROR('Model inputs'!E19&gt;'Model inputs'!AA31),'Model inputs'!E19&gt;'Model inputs'!AA31,IF(OR('Model inputs'!E19="",'Model inputs'!AA31=""),"",'Model inputs'!E19&gt;'Model inputs'!AA31))="",FALSE,IF(ISERROR('Model inputs'!E19&gt;'Model inputs'!AA31),'Model inputs'!E19&gt;'Model inputs'!AA31,IF(OR('Model inputs'!E19="",'Model inputs'!AA31=""),"",'Model inputs'!E19&gt;'Model inputs'!AA31))),'Model inputs'!AA13*'Model inputs'!AA11,0)</f>
        <v>0</v>
      </c>
      <c r="E11" s="9">
        <f>IF(IF(IF(ISERROR('Model inputs'!F19&gt;'Model inputs'!AA31),'Model inputs'!F19&gt;'Model inputs'!AA31,IF(OR('Model inputs'!F19="",'Model inputs'!AA31=""),"",'Model inputs'!F19&gt;'Model inputs'!AA31))="",FALSE,IF(ISERROR('Model inputs'!F19&gt;'Model inputs'!AA31),'Model inputs'!F19&gt;'Model inputs'!AA31,IF(OR('Model inputs'!F19="",'Model inputs'!AA31=""),"",'Model inputs'!F19&gt;'Model inputs'!AA31))),'Model inputs'!AA13*'Model inputs'!AA11,0)</f>
        <v>0</v>
      </c>
      <c r="F11" s="9">
        <f>IF(IF(IF(ISERROR('Model inputs'!G19&gt;'Model inputs'!AA31),'Model inputs'!G19&gt;'Model inputs'!AA31,IF(OR('Model inputs'!G19="",'Model inputs'!AA31=""),"",'Model inputs'!G19&gt;'Model inputs'!AA31))="",FALSE,IF(ISERROR('Model inputs'!G19&gt;'Model inputs'!AA31),'Model inputs'!G19&gt;'Model inputs'!AA31,IF(OR('Model inputs'!G19="",'Model inputs'!AA31=""),"",'Model inputs'!G19&gt;'Model inputs'!AA31))),'Model inputs'!AA13*'Model inputs'!AA11,0)</f>
        <v>0</v>
      </c>
      <c r="G11" s="9">
        <f>IF(IF(IF(ISERROR('Model inputs'!H19&gt;'Model inputs'!AA31),'Model inputs'!H19&gt;'Model inputs'!AA31,IF(OR('Model inputs'!H19="",'Model inputs'!AA31=""),"",'Model inputs'!H19&gt;'Model inputs'!AA31))="",FALSE,IF(ISERROR('Model inputs'!H19&gt;'Model inputs'!AA31),'Model inputs'!H19&gt;'Model inputs'!AA31,IF(OR('Model inputs'!H19="",'Model inputs'!AA31=""),"",'Model inputs'!H19&gt;'Model inputs'!AA31))),'Model inputs'!AA13*'Model inputs'!AA11,0)</f>
        <v>0</v>
      </c>
      <c r="H11" s="9">
        <f>IF(IF(IF(ISERROR('Model inputs'!I19&gt;'Model inputs'!AA31),'Model inputs'!I19&gt;'Model inputs'!AA31,IF(OR('Model inputs'!I19="",'Model inputs'!AA31=""),"",'Model inputs'!I19&gt;'Model inputs'!AA31))="",FALSE,IF(ISERROR('Model inputs'!I19&gt;'Model inputs'!AA31),'Model inputs'!I19&gt;'Model inputs'!AA31,IF(OR('Model inputs'!I19="",'Model inputs'!AA31=""),"",'Model inputs'!I19&gt;'Model inputs'!AA31))),'Model inputs'!AA13*'Model inputs'!AA11,0)</f>
        <v>8000</v>
      </c>
      <c r="I11" s="9">
        <f>IF(IF(IF(ISERROR('Model inputs'!J19&gt;'Model inputs'!AA31),'Model inputs'!J19&gt;'Model inputs'!AA31,IF(OR('Model inputs'!J19="",'Model inputs'!AA31=""),"",'Model inputs'!J19&gt;'Model inputs'!AA31))="",FALSE,IF(ISERROR('Model inputs'!J19&gt;'Model inputs'!AA31),'Model inputs'!J19&gt;'Model inputs'!AA31,IF(OR('Model inputs'!J19="",'Model inputs'!AA31=""),"",'Model inputs'!J19&gt;'Model inputs'!AA31))),'Model inputs'!AA13*'Model inputs'!AA11,0)</f>
        <v>8000</v>
      </c>
      <c r="J11" s="9">
        <f>IF(IF(IF(ISERROR('Model inputs'!K19&gt;'Model inputs'!AA31),'Model inputs'!K19&gt;'Model inputs'!AA31,IF(OR('Model inputs'!K19="",'Model inputs'!AA31=""),"",'Model inputs'!K19&gt;'Model inputs'!AA31))="",FALSE,IF(ISERROR('Model inputs'!K19&gt;'Model inputs'!AA31),'Model inputs'!K19&gt;'Model inputs'!AA31,IF(OR('Model inputs'!K19="",'Model inputs'!AA31=""),"",'Model inputs'!K19&gt;'Model inputs'!AA31))),'Model inputs'!AA13*'Model inputs'!AA11,0)</f>
        <v>8000</v>
      </c>
      <c r="K11" s="9">
        <f>IF(IF(IF(ISERROR('Model inputs'!L19&gt;'Model inputs'!AA31),'Model inputs'!L19&gt;'Model inputs'!AA31,IF(OR('Model inputs'!L19="",'Model inputs'!AA31=""),"",'Model inputs'!L19&gt;'Model inputs'!AA31))="",FALSE,IF(ISERROR('Model inputs'!L19&gt;'Model inputs'!AA31),'Model inputs'!L19&gt;'Model inputs'!AA31,IF(OR('Model inputs'!L19="",'Model inputs'!AA31=""),"",'Model inputs'!L19&gt;'Model inputs'!AA31))),'Model inputs'!AA13*'Model inputs'!AA11,0)</f>
        <v>8000</v>
      </c>
      <c r="L11" s="9">
        <f>IF(IF(IF(ISERROR('Model inputs'!M19&gt;'Model inputs'!AA31),'Model inputs'!M19&gt;'Model inputs'!AA31,IF(OR('Model inputs'!M19="",'Model inputs'!AA31=""),"",'Model inputs'!M19&gt;'Model inputs'!AA31))="",FALSE,IF(ISERROR('Model inputs'!M19&gt;'Model inputs'!AA31),'Model inputs'!M19&gt;'Model inputs'!AA31,IF(OR('Model inputs'!M19="",'Model inputs'!AA31=""),"",'Model inputs'!M19&gt;'Model inputs'!AA31))),'Model inputs'!AA13*'Model inputs'!AA11,0)</f>
        <v>8000</v>
      </c>
      <c r="M11" s="9">
        <f>IF(IF(IF(ISERROR('Model inputs'!N19&gt;'Model inputs'!AA31),'Model inputs'!N19&gt;'Model inputs'!AA31,IF(OR('Model inputs'!N19="",'Model inputs'!AA31=""),"",'Model inputs'!N19&gt;'Model inputs'!AA31))="",FALSE,IF(ISERROR('Model inputs'!N19&gt;'Model inputs'!AA31),'Model inputs'!N19&gt;'Model inputs'!AA31,IF(OR('Model inputs'!N19="",'Model inputs'!AA31=""),"",'Model inputs'!N19&gt;'Model inputs'!AA31))),'Model inputs'!AA13*'Model inputs'!AA11,0)</f>
        <v>8000</v>
      </c>
      <c r="N11" s="9">
        <f>IF(IF(IF(ISERROR('Model inputs'!O19&gt;'Model inputs'!AA31),'Model inputs'!O19&gt;'Model inputs'!AA31,IF(OR('Model inputs'!O19="",'Model inputs'!AA31=""),"",'Model inputs'!O19&gt;'Model inputs'!AA31))="",FALSE,IF(ISERROR('Model inputs'!O19&gt;'Model inputs'!AA31),'Model inputs'!O19&gt;'Model inputs'!AA31,IF(OR('Model inputs'!O19="",'Model inputs'!AA31=""),"",'Model inputs'!O19&gt;'Model inputs'!AA31))),'Model inputs'!AA13*'Model inputs'!AA11,0)</f>
        <v>8000</v>
      </c>
      <c r="O11" s="9">
        <f>IF(IF(IF(ISERROR('Model inputs'!P19&gt;'Model inputs'!AA31),'Model inputs'!P19&gt;'Model inputs'!AA31,IF(OR('Model inputs'!P19="",'Model inputs'!AA31=""),"",'Model inputs'!P19&gt;'Model inputs'!AA31))="",FALSE,IF(ISERROR('Model inputs'!P19&gt;'Model inputs'!AA31),'Model inputs'!P19&gt;'Model inputs'!AA31,IF(OR('Model inputs'!P19="",'Model inputs'!AA31=""),"",'Model inputs'!P19&gt;'Model inputs'!AA31))),'Model inputs'!AA13*'Model inputs'!AA11,0)</f>
        <v>8000</v>
      </c>
      <c r="P11" s="9">
        <f>IF(IF(IF(ISERROR('Model inputs'!Q19&gt;'Model inputs'!AA31),'Model inputs'!Q19&gt;'Model inputs'!AA31,IF(OR('Model inputs'!Q19="",'Model inputs'!AA31=""),"",'Model inputs'!Q19&gt;'Model inputs'!AA31))="",FALSE,IF(ISERROR('Model inputs'!Q19&gt;'Model inputs'!AA31),'Model inputs'!Q19&gt;'Model inputs'!AA31,IF(OR('Model inputs'!Q19="",'Model inputs'!AA31=""),"",'Model inputs'!Q19&gt;'Model inputs'!AA31))),'Model inputs'!AA13*'Model inputs'!AA11,0)</f>
        <v>8000</v>
      </c>
      <c r="Q11" s="9">
        <f>IF(IF(IF(ISERROR('Model inputs'!R19&gt;'Model inputs'!AA31),'Model inputs'!R19&gt;'Model inputs'!AA31,IF(OR('Model inputs'!R19="",'Model inputs'!AA31=""),"",'Model inputs'!R19&gt;'Model inputs'!AA31))="",FALSE,IF(ISERROR('Model inputs'!R19&gt;'Model inputs'!AA31),'Model inputs'!R19&gt;'Model inputs'!AA31,IF(OR('Model inputs'!R19="",'Model inputs'!AA31=""),"",'Model inputs'!R19&gt;'Model inputs'!AA31))),'Model inputs'!AA13*'Model inputs'!AA11,0)</f>
        <v>8000</v>
      </c>
      <c r="R11" s="9">
        <f>IF(IF(IF(ISERROR('Model inputs'!S19&gt;'Model inputs'!AA31),'Model inputs'!S19&gt;'Model inputs'!AA31,IF(OR('Model inputs'!S19="",'Model inputs'!AA31=""),"",'Model inputs'!S19&gt;'Model inputs'!AA31))="",FALSE,IF(ISERROR('Model inputs'!S19&gt;'Model inputs'!AA31),'Model inputs'!S19&gt;'Model inputs'!AA31,IF(OR('Model inputs'!S19="",'Model inputs'!AA31=""),"",'Model inputs'!S19&gt;'Model inputs'!AA31))),'Model inputs'!AA13*'Model inputs'!AA11,0)</f>
        <v>8000</v>
      </c>
      <c r="S11" s="9">
        <f>IF(IF(IF(ISERROR('Model inputs'!T19&gt;'Model inputs'!AA31),'Model inputs'!T19&gt;'Model inputs'!AA31,IF(OR('Model inputs'!T19="",'Model inputs'!AA31=""),"",'Model inputs'!T19&gt;'Model inputs'!AA31))="",FALSE,IF(ISERROR('Model inputs'!T19&gt;'Model inputs'!AA31),'Model inputs'!T19&gt;'Model inputs'!AA31,IF(OR('Model inputs'!T19="",'Model inputs'!AA31=""),"",'Model inputs'!T19&gt;'Model inputs'!AA31))),'Model inputs'!AA13*'Model inputs'!AA11,0)</f>
        <v>8000</v>
      </c>
      <c r="T11" s="9">
        <f>IF(IF(IF(ISERROR('Model inputs'!U19&gt;'Model inputs'!AA31),'Model inputs'!U19&gt;'Model inputs'!AA31,IF(OR('Model inputs'!U19="",'Model inputs'!AA31=""),"",'Model inputs'!U19&gt;'Model inputs'!AA31))="",FALSE,IF(ISERROR('Model inputs'!U19&gt;'Model inputs'!AA31),'Model inputs'!U19&gt;'Model inputs'!AA31,IF(OR('Model inputs'!U19="",'Model inputs'!AA31=""),"",'Model inputs'!U19&gt;'Model inputs'!AA31))),'Model inputs'!AA13*'Model inputs'!AA11,0)</f>
        <v>8000</v>
      </c>
      <c r="U11" s="9">
        <f>IF(IF(IF(ISERROR('Model inputs'!V19&gt;'Model inputs'!AA31),'Model inputs'!V19&gt;'Model inputs'!AA31,IF(OR('Model inputs'!V19="",'Model inputs'!AA31=""),"",'Model inputs'!V19&gt;'Model inputs'!AA31))="",FALSE,IF(ISERROR('Model inputs'!V19&gt;'Model inputs'!AA31),'Model inputs'!V19&gt;'Model inputs'!AA31,IF(OR('Model inputs'!V19="",'Model inputs'!AA31=""),"",'Model inputs'!V19&gt;'Model inputs'!AA31))),'Model inputs'!AA13*'Model inputs'!AA11,0)</f>
        <v>8000</v>
      </c>
      <c r="V11" s="9">
        <f>IF(IF(IF(ISERROR('Model inputs'!W19&gt;'Model inputs'!AA31),'Model inputs'!W19&gt;'Model inputs'!AA31,IF(OR('Model inputs'!W19="",'Model inputs'!AA31=""),"",'Model inputs'!W19&gt;'Model inputs'!AA31))="",FALSE,IF(ISERROR('Model inputs'!W19&gt;'Model inputs'!AA31),'Model inputs'!W19&gt;'Model inputs'!AA31,IF(OR('Model inputs'!W19="",'Model inputs'!AA31=""),"",'Model inputs'!W19&gt;'Model inputs'!AA31))),'Model inputs'!AA13*'Model inputs'!AA11,0)</f>
        <v>8000</v>
      </c>
      <c r="W11" s="9">
        <f>IF(IF(IF(ISERROR('Model inputs'!X19&gt;'Model inputs'!AA31),'Model inputs'!X19&gt;'Model inputs'!AA31,IF(OR('Model inputs'!X19="",'Model inputs'!AA31=""),"",'Model inputs'!X19&gt;'Model inputs'!AA31))="",FALSE,IF(ISERROR('Model inputs'!X19&gt;'Model inputs'!AA31),'Model inputs'!X19&gt;'Model inputs'!AA31,IF(OR('Model inputs'!X19="",'Model inputs'!AA31=""),"",'Model inputs'!X19&gt;'Model inputs'!AA31))),'Model inputs'!AA13*'Model inputs'!AA11,0)</f>
        <v>8000</v>
      </c>
      <c r="X11" s="9">
        <f>IF(IF(IF(ISERROR('Model inputs'!Y19&gt;'Model inputs'!AA31),'Model inputs'!Y19&gt;'Model inputs'!AA31,IF(OR('Model inputs'!Y19="",'Model inputs'!AA31=""),"",'Model inputs'!Y19&gt;'Model inputs'!AA31))="",FALSE,IF(ISERROR('Model inputs'!Y19&gt;'Model inputs'!AA31),'Model inputs'!Y19&gt;'Model inputs'!AA31,IF(OR('Model inputs'!Y19="",'Model inputs'!AA31=""),"",'Model inputs'!Y19&gt;'Model inputs'!AA31))),'Model inputs'!AA13*'Model inputs'!AA11,0)</f>
        <v>8000</v>
      </c>
      <c r="Y11" s="9">
        <f>IF(IF(IF(ISERROR('Model inputs'!Z19&gt;'Model inputs'!AA31),'Model inputs'!Z19&gt;'Model inputs'!AA31,IF(OR('Model inputs'!Z19="",'Model inputs'!AA31=""),"",'Model inputs'!Z19&gt;'Model inputs'!AA31))="",FALSE,IF(ISERROR('Model inputs'!Z19&gt;'Model inputs'!AA31),'Model inputs'!Z19&gt;'Model inputs'!AA31,IF(OR('Model inputs'!Z19="",'Model inputs'!AA31=""),"",'Model inputs'!Z19&gt;'Model inputs'!AA31))),'Model inputs'!AA13*'Model inputs'!AA11,0)</f>
        <v>8000</v>
      </c>
    </row>
    <row r="12">
      <c r="A12" t="inlineStr" s="8">
        <is>
          <t xml:space="preserve">Software and tools</t>
        </is>
      </c>
      <c r="B12" s="9">
        <f>IF('Model inputs'!AA29="","",'Model inputs'!AA29)</f>
        <v>200</v>
      </c>
      <c r="C12" s="9">
        <f>IF('Model inputs'!AA29="","",'Model inputs'!AA29)</f>
        <v>200</v>
      </c>
      <c r="D12" s="9">
        <f>IF('Model inputs'!AA29="","",'Model inputs'!AA29)</f>
        <v>200</v>
      </c>
      <c r="E12" s="9">
        <f>IF('Model inputs'!AA29="","",'Model inputs'!AA29)</f>
        <v>200</v>
      </c>
      <c r="F12" s="9">
        <f>IF('Model inputs'!AA29="","",'Model inputs'!AA29)</f>
        <v>200</v>
      </c>
      <c r="G12" s="9">
        <f>IF('Model inputs'!AA29="","",'Model inputs'!AA29)</f>
        <v>200</v>
      </c>
      <c r="H12" s="9">
        <f>IF('Model inputs'!AA29="","",'Model inputs'!AA29)</f>
        <v>200</v>
      </c>
      <c r="I12" s="9">
        <f>IF('Model inputs'!AA29="","",'Model inputs'!AA29)</f>
        <v>200</v>
      </c>
      <c r="J12" s="9">
        <f>IF('Model inputs'!AA29="","",'Model inputs'!AA29)</f>
        <v>200</v>
      </c>
      <c r="K12" s="9">
        <f>IF('Model inputs'!AA29="","",'Model inputs'!AA29)</f>
        <v>200</v>
      </c>
      <c r="L12" s="9">
        <f>IF('Model inputs'!AA29="","",'Model inputs'!AA29)</f>
        <v>200</v>
      </c>
      <c r="M12" s="9">
        <f>IF('Model inputs'!AA29="","",'Model inputs'!AA29)</f>
        <v>200</v>
      </c>
      <c r="N12" s="9">
        <f>IF('Model inputs'!AA29="","",'Model inputs'!AA29)</f>
        <v>200</v>
      </c>
      <c r="O12" s="9">
        <f>IF('Model inputs'!AA29="","",'Model inputs'!AA29)</f>
        <v>200</v>
      </c>
      <c r="P12" s="9">
        <f>IF('Model inputs'!AA29="","",'Model inputs'!AA29)</f>
        <v>200</v>
      </c>
      <c r="Q12" s="9">
        <f>IF('Model inputs'!AA29="","",'Model inputs'!AA29)</f>
        <v>200</v>
      </c>
      <c r="R12" s="9">
        <f>IF('Model inputs'!AA29="","",'Model inputs'!AA29)</f>
        <v>200</v>
      </c>
      <c r="S12" s="9">
        <f>IF('Model inputs'!AA29="","",'Model inputs'!AA29)</f>
        <v>200</v>
      </c>
      <c r="T12" s="9">
        <f>IF('Model inputs'!AA29="","",'Model inputs'!AA29)</f>
        <v>200</v>
      </c>
      <c r="U12" s="9">
        <f>IF('Model inputs'!AA29="","",'Model inputs'!AA29)</f>
        <v>200</v>
      </c>
      <c r="V12" s="9">
        <f>IF('Model inputs'!AA29="","",'Model inputs'!AA29)</f>
        <v>200</v>
      </c>
      <c r="W12" s="9">
        <f>IF('Model inputs'!AA29="","",'Model inputs'!AA29)</f>
        <v>200</v>
      </c>
      <c r="X12" s="9">
        <f>IF('Model inputs'!AA29="","",'Model inputs'!AA29)</f>
        <v>200</v>
      </c>
      <c r="Y12" s="9">
        <f>IF('Model inputs'!AA29="","",'Model inputs'!AA29)</f>
        <v>200</v>
      </c>
    </row>
    <row r="13">
      <c r="A13" t="inlineStr" s="10">
        <is>
          <t xml:space="preserve">Operating expenses</t>
        </is>
      </c>
      <c r="B13" s="9">
        <f>'Kedge P&amp;L, Burn &amp; Runway'!B11+'Kedge P&amp;L, Burn &amp; Runway'!B12</f>
        <v>200</v>
      </c>
      <c r="C13" s="9">
        <f>'Kedge P&amp;L, Burn &amp; Runway'!C11+'Kedge P&amp;L, Burn &amp; Runway'!C12</f>
        <v>200</v>
      </c>
      <c r="D13" s="9">
        <f>'Kedge P&amp;L, Burn &amp; Runway'!D11+'Kedge P&amp;L, Burn &amp; Runway'!D12</f>
        <v>200</v>
      </c>
      <c r="E13" s="9">
        <f>'Kedge P&amp;L, Burn &amp; Runway'!E11+'Kedge P&amp;L, Burn &amp; Runway'!E12</f>
        <v>200</v>
      </c>
      <c r="F13" s="9">
        <f>'Kedge P&amp;L, Burn &amp; Runway'!F11+'Kedge P&amp;L, Burn &amp; Runway'!F12</f>
        <v>200</v>
      </c>
      <c r="G13" s="9">
        <f>'Kedge P&amp;L, Burn &amp; Runway'!G11+'Kedge P&amp;L, Burn &amp; Runway'!G12</f>
        <v>200</v>
      </c>
      <c r="H13" s="9">
        <f>'Kedge P&amp;L, Burn &amp; Runway'!H11+'Kedge P&amp;L, Burn &amp; Runway'!H12</f>
        <v>8200</v>
      </c>
      <c r="I13" s="9">
        <f>'Kedge P&amp;L, Burn &amp; Runway'!I11+'Kedge P&amp;L, Burn &amp; Runway'!I12</f>
        <v>8200</v>
      </c>
      <c r="J13" s="9">
        <f>'Kedge P&amp;L, Burn &amp; Runway'!J11+'Kedge P&amp;L, Burn &amp; Runway'!J12</f>
        <v>8200</v>
      </c>
      <c r="K13" s="9">
        <f>'Kedge P&amp;L, Burn &amp; Runway'!K11+'Kedge P&amp;L, Burn &amp; Runway'!K12</f>
        <v>8200</v>
      </c>
      <c r="L13" s="9">
        <f>'Kedge P&amp;L, Burn &amp; Runway'!L11+'Kedge P&amp;L, Burn &amp; Runway'!L12</f>
        <v>8200</v>
      </c>
      <c r="M13" s="9">
        <f>'Kedge P&amp;L, Burn &amp; Runway'!M11+'Kedge P&amp;L, Burn &amp; Runway'!M12</f>
        <v>8200</v>
      </c>
      <c r="N13" s="9">
        <f>'Kedge P&amp;L, Burn &amp; Runway'!N11+'Kedge P&amp;L, Burn &amp; Runway'!N12</f>
        <v>8200</v>
      </c>
      <c r="O13" s="9">
        <f>'Kedge P&amp;L, Burn &amp; Runway'!O11+'Kedge P&amp;L, Burn &amp; Runway'!O12</f>
        <v>8200</v>
      </c>
      <c r="P13" s="9">
        <f>'Kedge P&amp;L, Burn &amp; Runway'!P11+'Kedge P&amp;L, Burn &amp; Runway'!P12</f>
        <v>8200</v>
      </c>
      <c r="Q13" s="9">
        <f>'Kedge P&amp;L, Burn &amp; Runway'!Q11+'Kedge P&amp;L, Burn &amp; Runway'!Q12</f>
        <v>8200</v>
      </c>
      <c r="R13" s="9">
        <f>'Kedge P&amp;L, Burn &amp; Runway'!R11+'Kedge P&amp;L, Burn &amp; Runway'!R12</f>
        <v>8200</v>
      </c>
      <c r="S13" s="9">
        <f>'Kedge P&amp;L, Burn &amp; Runway'!S11+'Kedge P&amp;L, Burn &amp; Runway'!S12</f>
        <v>8200</v>
      </c>
      <c r="T13" s="9">
        <f>'Kedge P&amp;L, Burn &amp; Runway'!T11+'Kedge P&amp;L, Burn &amp; Runway'!T12</f>
        <v>8200</v>
      </c>
      <c r="U13" s="9">
        <f>'Kedge P&amp;L, Burn &amp; Runway'!U11+'Kedge P&amp;L, Burn &amp; Runway'!U12</f>
        <v>8200</v>
      </c>
      <c r="V13" s="9">
        <f>'Kedge P&amp;L, Burn &amp; Runway'!V11+'Kedge P&amp;L, Burn &amp; Runway'!V12</f>
        <v>8200</v>
      </c>
      <c r="W13" s="9">
        <f>'Kedge P&amp;L, Burn &amp; Runway'!W11+'Kedge P&amp;L, Burn &amp; Runway'!W12</f>
        <v>8200</v>
      </c>
      <c r="X13" s="9">
        <f>'Kedge P&amp;L, Burn &amp; Runway'!X11+'Kedge P&amp;L, Burn &amp; Runway'!X12</f>
        <v>8200</v>
      </c>
      <c r="Y13" s="9">
        <f>'Kedge P&amp;L, Burn &amp; Runway'!Y11+'Kedge P&amp;L, Burn &amp; Runway'!Y12</f>
        <v>8200</v>
      </c>
    </row>
    <row r="14">
      <c r="A14" t="inlineStr" s="11">
        <is>
          <t xml:space="preserve">Operating income</t>
        </is>
      </c>
      <c r="B14" s="12">
        <f>'Kedge P&amp;L, Burn &amp; Runway'!B9-'Kedge P&amp;L, Burn &amp; Runway'!B13</f>
        <v>211</v>
      </c>
      <c r="C14" s="12">
        <f>'Kedge P&amp;L, Burn &amp; Runway'!C9-'Kedge P&amp;L, Burn &amp; Runway'!C13</f>
        <v>547.2727272727271</v>
      </c>
      <c r="D14" s="12">
        <f>'Kedge P&amp;L, Burn &amp; Runway'!D9-'Kedge P&amp;L, Burn &amp; Runway'!D13</f>
        <v>883.5454545454543</v>
      </c>
      <c r="E14" s="12">
        <f>'Kedge P&amp;L, Burn &amp; Runway'!E9-'Kedge P&amp;L, Burn &amp; Runway'!E13</f>
        <v>1219.818181818182</v>
      </c>
      <c r="F14" s="12">
        <f>'Kedge P&amp;L, Burn &amp; Runway'!F9-'Kedge P&amp;L, Burn &amp; Runway'!F13</f>
        <v>1556.0909090909086</v>
      </c>
      <c r="G14" s="12">
        <f>'Kedge P&amp;L, Burn &amp; Runway'!G9-'Kedge P&amp;L, Burn &amp; Runway'!G13</f>
        <v>1892.3636363636365</v>
      </c>
      <c r="H14" s="12">
        <f>'Kedge P&amp;L, Burn &amp; Runway'!H9-'Kedge P&amp;L, Burn &amp; Runway'!H13</f>
        <v>-5771.363636363636</v>
      </c>
      <c r="I14" s="12">
        <f>'Kedge P&amp;L, Burn &amp; Runway'!I9-'Kedge P&amp;L, Burn &amp; Runway'!I13</f>
        <v>-5435.090909090909</v>
      </c>
      <c r="J14" s="12">
        <f>'Kedge P&amp;L, Burn &amp; Runway'!J9-'Kedge P&amp;L, Burn &amp; Runway'!J13</f>
        <v>-5098.818181818182</v>
      </c>
      <c r="K14" s="12">
        <f>'Kedge P&amp;L, Burn &amp; Runway'!K9-'Kedge P&amp;L, Burn &amp; Runway'!K13</f>
        <v>-4762.545454545455</v>
      </c>
      <c r="L14" s="12">
        <f>'Kedge P&amp;L, Burn &amp; Runway'!L9-'Kedge P&amp;L, Burn &amp; Runway'!L13</f>
        <v>-4426.272727272727</v>
      </c>
      <c r="M14" s="12">
        <f>'Kedge P&amp;L, Burn &amp; Runway'!M9-'Kedge P&amp;L, Burn &amp; Runway'!M13</f>
        <v>-4090</v>
      </c>
      <c r="N14" s="12">
        <f>'Kedge P&amp;L, Burn &amp; Runway'!N9-'Kedge P&amp;L, Burn &amp; Runway'!N13</f>
        <v>-4090</v>
      </c>
      <c r="O14" s="12">
        <f>'Kedge P&amp;L, Burn &amp; Runway'!O9-'Kedge P&amp;L, Burn &amp; Runway'!O13</f>
        <v>-4090</v>
      </c>
      <c r="P14" s="12">
        <f>'Kedge P&amp;L, Burn &amp; Runway'!P9-'Kedge P&amp;L, Burn &amp; Runway'!P13</f>
        <v>-4090</v>
      </c>
      <c r="Q14" s="12">
        <f>'Kedge P&amp;L, Burn &amp; Runway'!Q9-'Kedge P&amp;L, Burn &amp; Runway'!Q13</f>
        <v>-4090</v>
      </c>
      <c r="R14" s="12">
        <f>'Kedge P&amp;L, Burn &amp; Runway'!R9-'Kedge P&amp;L, Burn &amp; Runway'!R13</f>
        <v>-4090</v>
      </c>
      <c r="S14" s="12">
        <f>'Kedge P&amp;L, Burn &amp; Runway'!S9-'Kedge P&amp;L, Burn &amp; Runway'!S13</f>
        <v>-4090</v>
      </c>
      <c r="T14" s="12">
        <f>'Kedge P&amp;L, Burn &amp; Runway'!T9-'Kedge P&amp;L, Burn &amp; Runway'!T13</f>
        <v>-4090</v>
      </c>
      <c r="U14" s="12">
        <f>'Kedge P&amp;L, Burn &amp; Runway'!U9-'Kedge P&amp;L, Burn &amp; Runway'!U13</f>
        <v>-4090</v>
      </c>
      <c r="V14" s="12">
        <f>'Kedge P&amp;L, Burn &amp; Runway'!V9-'Kedge P&amp;L, Burn &amp; Runway'!V13</f>
        <v>-4090</v>
      </c>
      <c r="W14" s="12">
        <f>'Kedge P&amp;L, Burn &amp; Runway'!W9-'Kedge P&amp;L, Burn &amp; Runway'!W13</f>
        <v>-4090</v>
      </c>
      <c r="X14" s="12">
        <f>'Kedge P&amp;L, Burn &amp; Runway'!X9-'Kedge P&amp;L, Burn &amp; Runway'!X13</f>
        <v>-4090</v>
      </c>
      <c r="Y14" s="12">
        <f>'Kedge P&amp;L, Burn &amp; Runway'!Y9-'Kedge P&amp;L, Burn &amp; Runway'!Y13</f>
        <v>-4090</v>
      </c>
    </row>
    <row r="15">
      <c r="A15" t="inlineStr" s="10">
        <is>
          <t xml:space="preserve">Net burn</t>
        </is>
      </c>
      <c r="B15" s="9">
        <f>-'Kedge P&amp;L, Burn &amp; Runway'!B14</f>
        <v>-211</v>
      </c>
      <c r="C15" s="9">
        <f>-'Kedge P&amp;L, Burn &amp; Runway'!C14</f>
        <v>-547.2727272727271</v>
      </c>
      <c r="D15" s="9">
        <f>-'Kedge P&amp;L, Burn &amp; Runway'!D14</f>
        <v>-883.5454545454543</v>
      </c>
      <c r="E15" s="9">
        <f>-'Kedge P&amp;L, Burn &amp; Runway'!E14</f>
        <v>-1219.818181818182</v>
      </c>
      <c r="F15" s="9">
        <f>-'Kedge P&amp;L, Burn &amp; Runway'!F14</f>
        <v>-1556.0909090909086</v>
      </c>
      <c r="G15" s="9">
        <f>-'Kedge P&amp;L, Burn &amp; Runway'!G14</f>
        <v>-1892.3636363636365</v>
      </c>
      <c r="H15" s="9">
        <f>-'Kedge P&amp;L, Burn &amp; Runway'!H14</f>
        <v>5771.363636363636</v>
      </c>
      <c r="I15" s="9">
        <f>-'Kedge P&amp;L, Burn &amp; Runway'!I14</f>
        <v>5435.090909090909</v>
      </c>
      <c r="J15" s="9">
        <f>-'Kedge P&amp;L, Burn &amp; Runway'!J14</f>
        <v>5098.818181818182</v>
      </c>
      <c r="K15" s="9">
        <f>-'Kedge P&amp;L, Burn &amp; Runway'!K14</f>
        <v>4762.545454545455</v>
      </c>
      <c r="L15" s="9">
        <f>-'Kedge P&amp;L, Burn &amp; Runway'!L14</f>
        <v>4426.272727272727</v>
      </c>
      <c r="M15" s="9">
        <f>-'Kedge P&amp;L, Burn &amp; Runway'!M14</f>
        <v>4090</v>
      </c>
      <c r="N15" s="9">
        <f>-'Kedge P&amp;L, Burn &amp; Runway'!N14</f>
        <v>4090</v>
      </c>
      <c r="O15" s="9">
        <f>-'Kedge P&amp;L, Burn &amp; Runway'!O14</f>
        <v>4090</v>
      </c>
      <c r="P15" s="9">
        <f>-'Kedge P&amp;L, Burn &amp; Runway'!P14</f>
        <v>4090</v>
      </c>
      <c r="Q15" s="9">
        <f>-'Kedge P&amp;L, Burn &amp; Runway'!Q14</f>
        <v>4090</v>
      </c>
      <c r="R15" s="9">
        <f>-'Kedge P&amp;L, Burn &amp; Runway'!R14</f>
        <v>4090</v>
      </c>
      <c r="S15" s="9">
        <f>-'Kedge P&amp;L, Burn &amp; Runway'!S14</f>
        <v>4090</v>
      </c>
      <c r="T15" s="9">
        <f>-'Kedge P&amp;L, Burn &amp; Runway'!T14</f>
        <v>4090</v>
      </c>
      <c r="U15" s="9">
        <f>-'Kedge P&amp;L, Burn &amp; Runway'!U14</f>
        <v>4090</v>
      </c>
      <c r="V15" s="9">
        <f>-'Kedge P&amp;L, Burn &amp; Runway'!V14</f>
        <v>4090</v>
      </c>
      <c r="W15" s="9">
        <f>-'Kedge P&amp;L, Burn &amp; Runway'!W14</f>
        <v>4090</v>
      </c>
      <c r="X15" s="9">
        <f>-'Kedge P&amp;L, Burn &amp; Runway'!X14</f>
        <v>4090</v>
      </c>
      <c r="Y15" s="9">
        <f>-'Kedge P&amp;L, Burn &amp; Runway'!Y14</f>
        <v>4090</v>
      </c>
    </row>
    <row r="16">
      <c r="A16" t="inlineStr" s="10">
        <is>
          <t xml:space="preserve">Equity raised</t>
        </is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f>60000</f>
        <v>60000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>
      <c r="A17" t="inlineStr" s="11">
        <is>
          <t xml:space="preserve">Cash balance</t>
        </is>
      </c>
      <c r="B17" s="12">
        <f>'Model inputs'!B7-'Kedge P&amp;L, Burn &amp; Runway'!B15+'Kedge P&amp;L, Burn &amp; Runway'!B16</f>
        <v>211</v>
      </c>
      <c r="C17" s="12">
        <f>'Kedge P&amp;L, Burn &amp; Runway'!B17-'Kedge P&amp;L, Burn &amp; Runway'!C15+'Kedge P&amp;L, Burn &amp; Runway'!C16</f>
        <v>758.2727272727271</v>
      </c>
      <c r="D17" s="12">
        <f>'Kedge P&amp;L, Burn &amp; Runway'!C17-'Kedge P&amp;L, Burn &amp; Runway'!D15+'Kedge P&amp;L, Burn &amp; Runway'!D16</f>
        <v>1641.8181818181815</v>
      </c>
      <c r="E17" s="12">
        <f>'Kedge P&amp;L, Burn &amp; Runway'!D17-'Kedge P&amp;L, Burn &amp; Runway'!E15+'Kedge P&amp;L, Burn &amp; Runway'!E16</f>
        <v>2861.6363636363635</v>
      </c>
      <c r="F17" s="12">
        <f>'Kedge P&amp;L, Burn &amp; Runway'!E17-'Kedge P&amp;L, Burn &amp; Runway'!F15+'Kedge P&amp;L, Burn &amp; Runway'!F16</f>
        <v>4417.727272727272</v>
      </c>
      <c r="G17" s="12">
        <f>'Kedge P&amp;L, Burn &amp; Runway'!F17-'Kedge P&amp;L, Burn &amp; Runway'!G15+'Kedge P&amp;L, Burn &amp; Runway'!G16</f>
        <v>6310.090909090908</v>
      </c>
      <c r="H17" s="12">
        <f>'Kedge P&amp;L, Burn &amp; Runway'!G17-'Kedge P&amp;L, Burn &amp; Runway'!H15+'Kedge P&amp;L, Burn &amp; Runway'!H16</f>
        <v>60538.72727272727</v>
      </c>
      <c r="I17" s="12">
        <f>'Kedge P&amp;L, Burn &amp; Runway'!H17-'Kedge P&amp;L, Burn &amp; Runway'!I15+'Kedge P&amp;L, Burn &amp; Runway'!I16</f>
        <v>55103.63636363636</v>
      </c>
      <c r="J17" s="12">
        <f>'Kedge P&amp;L, Burn &amp; Runway'!I17-'Kedge P&amp;L, Burn &amp; Runway'!J15+'Kedge P&amp;L, Burn &amp; Runway'!J16</f>
        <v>50004.81818181818</v>
      </c>
      <c r="K17" s="12">
        <f>'Kedge P&amp;L, Burn &amp; Runway'!J17-'Kedge P&amp;L, Burn &amp; Runway'!K15+'Kedge P&amp;L, Burn &amp; Runway'!K16</f>
        <v>45242.27272727272</v>
      </c>
      <c r="L17" s="12">
        <f>'Kedge P&amp;L, Burn &amp; Runway'!K17-'Kedge P&amp;L, Burn &amp; Runway'!L15+'Kedge P&amp;L, Burn &amp; Runway'!L16</f>
        <v>40815.99999999999</v>
      </c>
      <c r="M17" s="12">
        <f>'Kedge P&amp;L, Burn &amp; Runway'!L17-'Kedge P&amp;L, Burn &amp; Runway'!M15+'Kedge P&amp;L, Burn &amp; Runway'!M16</f>
        <v>36725.99999999999</v>
      </c>
      <c r="N17" s="12">
        <f>'Kedge P&amp;L, Burn &amp; Runway'!M17-'Kedge P&amp;L, Burn &amp; Runway'!N15+'Kedge P&amp;L, Burn &amp; Runway'!N16</f>
        <v>32635.999999999993</v>
      </c>
      <c r="O17" s="12">
        <f>'Kedge P&amp;L, Burn &amp; Runway'!N17-'Kedge P&amp;L, Burn &amp; Runway'!O15+'Kedge P&amp;L, Burn &amp; Runway'!O16</f>
        <v>28545.999999999993</v>
      </c>
      <c r="P17" s="12">
        <f>'Kedge P&amp;L, Burn &amp; Runway'!O17-'Kedge P&amp;L, Burn &amp; Runway'!P15+'Kedge P&amp;L, Burn &amp; Runway'!P16</f>
        <v>24455.999999999993</v>
      </c>
      <c r="Q17" s="12">
        <f>'Kedge P&amp;L, Burn &amp; Runway'!P17-'Kedge P&amp;L, Burn &amp; Runway'!Q15+'Kedge P&amp;L, Burn &amp; Runway'!Q16</f>
        <v>20365.999999999993</v>
      </c>
      <c r="R17" s="12">
        <f>'Kedge P&amp;L, Burn &amp; Runway'!Q17-'Kedge P&amp;L, Burn &amp; Runway'!R15+'Kedge P&amp;L, Burn &amp; Runway'!R16</f>
        <v>16275.999999999993</v>
      </c>
      <c r="S17" s="12">
        <f>'Kedge P&amp;L, Burn &amp; Runway'!R17-'Kedge P&amp;L, Burn &amp; Runway'!S15+'Kedge P&amp;L, Burn &amp; Runway'!S16</f>
        <v>12185.999999999993</v>
      </c>
      <c r="T17" s="12">
        <f>'Kedge P&amp;L, Burn &amp; Runway'!S17-'Kedge P&amp;L, Burn &amp; Runway'!T15+'Kedge P&amp;L, Burn &amp; Runway'!T16</f>
        <v>8095.999999999993</v>
      </c>
      <c r="U17" s="12">
        <f>'Kedge P&amp;L, Burn &amp; Runway'!T17-'Kedge P&amp;L, Burn &amp; Runway'!U15+'Kedge P&amp;L, Burn &amp; Runway'!U16</f>
        <v>4005.9999999999927</v>
      </c>
      <c r="V17" s="12">
        <f>'Kedge P&amp;L, Burn &amp; Runway'!U17-'Kedge P&amp;L, Burn &amp; Runway'!V15+'Kedge P&amp;L, Burn &amp; Runway'!V16</f>
        <v>-84.00000000000728</v>
      </c>
      <c r="W17" s="12">
        <f>'Kedge P&amp;L, Burn &amp; Runway'!V17-'Kedge P&amp;L, Burn &amp; Runway'!W15+'Kedge P&amp;L, Burn &amp; Runway'!W16</f>
        <v>-4174.000000000007</v>
      </c>
      <c r="X17" s="12">
        <f>'Kedge P&amp;L, Burn &amp; Runway'!W17-'Kedge P&amp;L, Burn &amp; Runway'!X15+'Kedge P&amp;L, Burn &amp; Runway'!X16</f>
        <v>-8264.000000000007</v>
      </c>
      <c r="Y17" s="12">
        <f>'Kedge P&amp;L, Burn &amp; Runway'!X17-'Kedge P&amp;L, Burn &amp; Runway'!Y15+'Kedge P&amp;L, Burn &amp; Runway'!Y16</f>
        <v>-12354.000000000007</v>
      </c>
    </row>
    <row r="18">
      <c r="A18" t="inlineStr" s="10">
        <is>
          <t xml:space="preserve">Funding needed to date</t>
        </is>
      </c>
      <c r="B18" s="9">
        <f>IF(IF(IF(ISERROR(-'Kedge P&amp;L, Burn &amp; Runway'!B17&gt;'Model inputs'!B14),-'Kedge P&amp;L, Burn &amp; Runway'!B17&gt;'Model inputs'!B14,IF('Model inputs'!B14="","",-'Kedge P&amp;L, Burn &amp; Runway'!B17&gt;'Model inputs'!B14))="",FALSE,IF(ISERROR(-'Kedge P&amp;L, Burn &amp; Runway'!B17&gt;'Model inputs'!B14),-'Kedge P&amp;L, Burn &amp; Runway'!B17&gt;'Model inputs'!B14,IF('Model inputs'!B14="","",-'Kedge P&amp;L, Burn &amp; Runway'!B17&gt;'Model inputs'!B14))),-'Kedge P&amp;L, Burn &amp; Runway'!B17,IF('Model inputs'!B14="","",'Model inputs'!B14))</f>
        <v>0</v>
      </c>
      <c r="C18" s="9">
        <f>IF(IF(IF(ISERROR(-'Kedge P&amp;L, Burn &amp; Runway'!C17&gt;'Kedge P&amp;L, Burn &amp; Runway'!B18),-'Kedge P&amp;L, Burn &amp; Runway'!C17&gt;'Kedge P&amp;L, Burn &amp; Runway'!B18,IF('Kedge P&amp;L, Burn &amp; Runway'!B18="","",-'Kedge P&amp;L, Burn &amp; Runway'!C17&gt;'Kedge P&amp;L, Burn &amp; Runway'!B18))="",FALSE,IF(ISERROR(-'Kedge P&amp;L, Burn &amp; Runway'!C17&gt;'Kedge P&amp;L, Burn &amp; Runway'!B18),-'Kedge P&amp;L, Burn &amp; Runway'!C17&gt;'Kedge P&amp;L, Burn &amp; Runway'!B18,IF('Kedge P&amp;L, Burn &amp; Runway'!B18="","",-'Kedge P&amp;L, Burn &amp; Runway'!C17&gt;'Kedge P&amp;L, Burn &amp; Runway'!B18))),-'Kedge P&amp;L, Burn &amp; Runway'!C17,IF('Kedge P&amp;L, Burn &amp; Runway'!B18="","",'Kedge P&amp;L, Burn &amp; Runway'!B18))</f>
        <v>0</v>
      </c>
      <c r="D18" s="9">
        <f>IF(IF(IF(ISERROR(-'Kedge P&amp;L, Burn &amp; Runway'!D17&gt;'Kedge P&amp;L, Burn &amp; Runway'!C18),-'Kedge P&amp;L, Burn &amp; Runway'!D17&gt;'Kedge P&amp;L, Burn &amp; Runway'!C18,IF('Kedge P&amp;L, Burn &amp; Runway'!C18="","",-'Kedge P&amp;L, Burn &amp; Runway'!D17&gt;'Kedge P&amp;L, Burn &amp; Runway'!C18))="",FALSE,IF(ISERROR(-'Kedge P&amp;L, Burn &amp; Runway'!D17&gt;'Kedge P&amp;L, Burn &amp; Runway'!C18),-'Kedge P&amp;L, Burn &amp; Runway'!D17&gt;'Kedge P&amp;L, Burn &amp; Runway'!C18,IF('Kedge P&amp;L, Burn &amp; Runway'!C18="","",-'Kedge P&amp;L, Burn &amp; Runway'!D17&gt;'Kedge P&amp;L, Burn &amp; Runway'!C18))),-'Kedge P&amp;L, Burn &amp; Runway'!D17,IF('Kedge P&amp;L, Burn &amp; Runway'!C18="","",'Kedge P&amp;L, Burn &amp; Runway'!C18))</f>
        <v>0</v>
      </c>
      <c r="E18" s="9">
        <f>IF(IF(IF(ISERROR(-'Kedge P&amp;L, Burn &amp; Runway'!E17&gt;'Kedge P&amp;L, Burn &amp; Runway'!D18),-'Kedge P&amp;L, Burn &amp; Runway'!E17&gt;'Kedge P&amp;L, Burn &amp; Runway'!D18,IF('Kedge P&amp;L, Burn &amp; Runway'!D18="","",-'Kedge P&amp;L, Burn &amp; Runway'!E17&gt;'Kedge P&amp;L, Burn &amp; Runway'!D18))="",FALSE,IF(ISERROR(-'Kedge P&amp;L, Burn &amp; Runway'!E17&gt;'Kedge P&amp;L, Burn &amp; Runway'!D18),-'Kedge P&amp;L, Burn &amp; Runway'!E17&gt;'Kedge P&amp;L, Burn &amp; Runway'!D18,IF('Kedge P&amp;L, Burn &amp; Runway'!D18="","",-'Kedge P&amp;L, Burn &amp; Runway'!E17&gt;'Kedge P&amp;L, Burn &amp; Runway'!D18))),-'Kedge P&amp;L, Burn &amp; Runway'!E17,IF('Kedge P&amp;L, Burn &amp; Runway'!D18="","",'Kedge P&amp;L, Burn &amp; Runway'!D18))</f>
        <v>0</v>
      </c>
      <c r="F18" s="9">
        <f>IF(IF(IF(ISERROR(-'Kedge P&amp;L, Burn &amp; Runway'!F17&gt;'Kedge P&amp;L, Burn &amp; Runway'!E18),-'Kedge P&amp;L, Burn &amp; Runway'!F17&gt;'Kedge P&amp;L, Burn &amp; Runway'!E18,IF('Kedge P&amp;L, Burn &amp; Runway'!E18="","",-'Kedge P&amp;L, Burn &amp; Runway'!F17&gt;'Kedge P&amp;L, Burn &amp; Runway'!E18))="",FALSE,IF(ISERROR(-'Kedge P&amp;L, Burn &amp; Runway'!F17&gt;'Kedge P&amp;L, Burn &amp; Runway'!E18),-'Kedge P&amp;L, Burn &amp; Runway'!F17&gt;'Kedge P&amp;L, Burn &amp; Runway'!E18,IF('Kedge P&amp;L, Burn &amp; Runway'!E18="","",-'Kedge P&amp;L, Burn &amp; Runway'!F17&gt;'Kedge P&amp;L, Burn &amp; Runway'!E18))),-'Kedge P&amp;L, Burn &amp; Runway'!F17,IF('Kedge P&amp;L, Burn &amp; Runway'!E18="","",'Kedge P&amp;L, Burn &amp; Runway'!E18))</f>
        <v>0</v>
      </c>
      <c r="G18" s="9">
        <f>IF(IF(IF(ISERROR(-'Kedge P&amp;L, Burn &amp; Runway'!G17&gt;'Kedge P&amp;L, Burn &amp; Runway'!F18),-'Kedge P&amp;L, Burn &amp; Runway'!G17&gt;'Kedge P&amp;L, Burn &amp; Runway'!F18,IF('Kedge P&amp;L, Burn &amp; Runway'!F18="","",-'Kedge P&amp;L, Burn &amp; Runway'!G17&gt;'Kedge P&amp;L, Burn &amp; Runway'!F18))="",FALSE,IF(ISERROR(-'Kedge P&amp;L, Burn &amp; Runway'!G17&gt;'Kedge P&amp;L, Burn &amp; Runway'!F18),-'Kedge P&amp;L, Burn &amp; Runway'!G17&gt;'Kedge P&amp;L, Burn &amp; Runway'!F18,IF('Kedge P&amp;L, Burn &amp; Runway'!F18="","",-'Kedge P&amp;L, Burn &amp; Runway'!G17&gt;'Kedge P&amp;L, Burn &amp; Runway'!F18))),-'Kedge P&amp;L, Burn &amp; Runway'!G17,IF('Kedge P&amp;L, Burn &amp; Runway'!F18="","",'Kedge P&amp;L, Burn &amp; Runway'!F18))</f>
        <v>0</v>
      </c>
      <c r="H18" s="9">
        <f>IF(IF(IF(ISERROR(-'Kedge P&amp;L, Burn &amp; Runway'!H17&gt;'Kedge P&amp;L, Burn &amp; Runway'!G18),-'Kedge P&amp;L, Burn &amp; Runway'!H17&gt;'Kedge P&amp;L, Burn &amp; Runway'!G18,IF('Kedge P&amp;L, Burn &amp; Runway'!G18="","",-'Kedge P&amp;L, Burn &amp; Runway'!H17&gt;'Kedge P&amp;L, Burn &amp; Runway'!G18))="",FALSE,IF(ISERROR(-'Kedge P&amp;L, Burn &amp; Runway'!H17&gt;'Kedge P&amp;L, Burn &amp; Runway'!G18),-'Kedge P&amp;L, Burn &amp; Runway'!H17&gt;'Kedge P&amp;L, Burn &amp; Runway'!G18,IF('Kedge P&amp;L, Burn &amp; Runway'!G18="","",-'Kedge P&amp;L, Burn &amp; Runway'!H17&gt;'Kedge P&amp;L, Burn &amp; Runway'!G18))),-'Kedge P&amp;L, Burn &amp; Runway'!H17,IF('Kedge P&amp;L, Burn &amp; Runway'!G18="","",'Kedge P&amp;L, Burn &amp; Runway'!G18))</f>
        <v>0</v>
      </c>
      <c r="I18" s="9">
        <f>IF(IF(IF(ISERROR(-'Kedge P&amp;L, Burn &amp; Runway'!I17&gt;'Kedge P&amp;L, Burn &amp; Runway'!H18),-'Kedge P&amp;L, Burn &amp; Runway'!I17&gt;'Kedge P&amp;L, Burn &amp; Runway'!H18,IF('Kedge P&amp;L, Burn &amp; Runway'!H18="","",-'Kedge P&amp;L, Burn &amp; Runway'!I17&gt;'Kedge P&amp;L, Burn &amp; Runway'!H18))="",FALSE,IF(ISERROR(-'Kedge P&amp;L, Burn &amp; Runway'!I17&gt;'Kedge P&amp;L, Burn &amp; Runway'!H18),-'Kedge P&amp;L, Burn &amp; Runway'!I17&gt;'Kedge P&amp;L, Burn &amp; Runway'!H18,IF('Kedge P&amp;L, Burn &amp; Runway'!H18="","",-'Kedge P&amp;L, Burn &amp; Runway'!I17&gt;'Kedge P&amp;L, Burn &amp; Runway'!H18))),-'Kedge P&amp;L, Burn &amp; Runway'!I17,IF('Kedge P&amp;L, Burn &amp; Runway'!H18="","",'Kedge P&amp;L, Burn &amp; Runway'!H18))</f>
        <v>0</v>
      </c>
      <c r="J18" s="9">
        <f>IF(IF(IF(ISERROR(-'Kedge P&amp;L, Burn &amp; Runway'!J17&gt;'Kedge P&amp;L, Burn &amp; Runway'!I18),-'Kedge P&amp;L, Burn &amp; Runway'!J17&gt;'Kedge P&amp;L, Burn &amp; Runway'!I18,IF('Kedge P&amp;L, Burn &amp; Runway'!I18="","",-'Kedge P&amp;L, Burn &amp; Runway'!J17&gt;'Kedge P&amp;L, Burn &amp; Runway'!I18))="",FALSE,IF(ISERROR(-'Kedge P&amp;L, Burn &amp; Runway'!J17&gt;'Kedge P&amp;L, Burn &amp; Runway'!I18),-'Kedge P&amp;L, Burn &amp; Runway'!J17&gt;'Kedge P&amp;L, Burn &amp; Runway'!I18,IF('Kedge P&amp;L, Burn &amp; Runway'!I18="","",-'Kedge P&amp;L, Burn &amp; Runway'!J17&gt;'Kedge P&amp;L, Burn &amp; Runway'!I18))),-'Kedge P&amp;L, Burn &amp; Runway'!J17,IF('Kedge P&amp;L, Burn &amp; Runway'!I18="","",'Kedge P&amp;L, Burn &amp; Runway'!I18))</f>
        <v>0</v>
      </c>
      <c r="K18" s="9">
        <f>IF(IF(IF(ISERROR(-'Kedge P&amp;L, Burn &amp; Runway'!K17&gt;'Kedge P&amp;L, Burn &amp; Runway'!J18),-'Kedge P&amp;L, Burn &amp; Runway'!K17&gt;'Kedge P&amp;L, Burn &amp; Runway'!J18,IF('Kedge P&amp;L, Burn &amp; Runway'!J18="","",-'Kedge P&amp;L, Burn &amp; Runway'!K17&gt;'Kedge P&amp;L, Burn &amp; Runway'!J18))="",FALSE,IF(ISERROR(-'Kedge P&amp;L, Burn &amp; Runway'!K17&gt;'Kedge P&amp;L, Burn &amp; Runway'!J18),-'Kedge P&amp;L, Burn &amp; Runway'!K17&gt;'Kedge P&amp;L, Burn &amp; Runway'!J18,IF('Kedge P&amp;L, Burn &amp; Runway'!J18="","",-'Kedge P&amp;L, Burn &amp; Runway'!K17&gt;'Kedge P&amp;L, Burn &amp; Runway'!J18))),-'Kedge P&amp;L, Burn &amp; Runway'!K17,IF('Kedge P&amp;L, Burn &amp; Runway'!J18="","",'Kedge P&amp;L, Burn &amp; Runway'!J18))</f>
        <v>0</v>
      </c>
      <c r="L18" s="9">
        <f>IF(IF(IF(ISERROR(-'Kedge P&amp;L, Burn &amp; Runway'!L17&gt;'Kedge P&amp;L, Burn &amp; Runway'!K18),-'Kedge P&amp;L, Burn &amp; Runway'!L17&gt;'Kedge P&amp;L, Burn &amp; Runway'!K18,IF('Kedge P&amp;L, Burn &amp; Runway'!K18="","",-'Kedge P&amp;L, Burn &amp; Runway'!L17&gt;'Kedge P&amp;L, Burn &amp; Runway'!K18))="",FALSE,IF(ISERROR(-'Kedge P&amp;L, Burn &amp; Runway'!L17&gt;'Kedge P&amp;L, Burn &amp; Runway'!K18),-'Kedge P&amp;L, Burn &amp; Runway'!L17&gt;'Kedge P&amp;L, Burn &amp; Runway'!K18,IF('Kedge P&amp;L, Burn &amp; Runway'!K18="","",-'Kedge P&amp;L, Burn &amp; Runway'!L17&gt;'Kedge P&amp;L, Burn &amp; Runway'!K18))),-'Kedge P&amp;L, Burn &amp; Runway'!L17,IF('Kedge P&amp;L, Burn &amp; Runway'!K18="","",'Kedge P&amp;L, Burn &amp; Runway'!K18))</f>
        <v>0</v>
      </c>
      <c r="M18" s="9">
        <f>IF(IF(IF(ISERROR(-'Kedge P&amp;L, Burn &amp; Runway'!M17&gt;'Kedge P&amp;L, Burn &amp; Runway'!L18),-'Kedge P&amp;L, Burn &amp; Runway'!M17&gt;'Kedge P&amp;L, Burn &amp; Runway'!L18,IF('Kedge P&amp;L, Burn &amp; Runway'!L18="","",-'Kedge P&amp;L, Burn &amp; Runway'!M17&gt;'Kedge P&amp;L, Burn &amp; Runway'!L18))="",FALSE,IF(ISERROR(-'Kedge P&amp;L, Burn &amp; Runway'!M17&gt;'Kedge P&amp;L, Burn &amp; Runway'!L18),-'Kedge P&amp;L, Burn &amp; Runway'!M17&gt;'Kedge P&amp;L, Burn &amp; Runway'!L18,IF('Kedge P&amp;L, Burn &amp; Runway'!L18="","",-'Kedge P&amp;L, Burn &amp; Runway'!M17&gt;'Kedge P&amp;L, Burn &amp; Runway'!L18))),-'Kedge P&amp;L, Burn &amp; Runway'!M17,IF('Kedge P&amp;L, Burn &amp; Runway'!L18="","",'Kedge P&amp;L, Burn &amp; Runway'!L18))</f>
        <v>0</v>
      </c>
      <c r="N18" s="9">
        <f>IF(IF(IF(ISERROR(-'Kedge P&amp;L, Burn &amp; Runway'!N17&gt;'Kedge P&amp;L, Burn &amp; Runway'!M18),-'Kedge P&amp;L, Burn &amp; Runway'!N17&gt;'Kedge P&amp;L, Burn &amp; Runway'!M18,IF('Kedge P&amp;L, Burn &amp; Runway'!M18="","",-'Kedge P&amp;L, Burn &amp; Runway'!N17&gt;'Kedge P&amp;L, Burn &amp; Runway'!M18))="",FALSE,IF(ISERROR(-'Kedge P&amp;L, Burn &amp; Runway'!N17&gt;'Kedge P&amp;L, Burn &amp; Runway'!M18),-'Kedge P&amp;L, Burn &amp; Runway'!N17&gt;'Kedge P&amp;L, Burn &amp; Runway'!M18,IF('Kedge P&amp;L, Burn &amp; Runway'!M18="","",-'Kedge P&amp;L, Burn &amp; Runway'!N17&gt;'Kedge P&amp;L, Burn &amp; Runway'!M18))),-'Kedge P&amp;L, Burn &amp; Runway'!N17,IF('Kedge P&amp;L, Burn &amp; Runway'!M18="","",'Kedge P&amp;L, Burn &amp; Runway'!M18))</f>
        <v>0</v>
      </c>
      <c r="O18" s="9">
        <f>IF(IF(IF(ISERROR(-'Kedge P&amp;L, Burn &amp; Runway'!O17&gt;'Kedge P&amp;L, Burn &amp; Runway'!N18),-'Kedge P&amp;L, Burn &amp; Runway'!O17&gt;'Kedge P&amp;L, Burn &amp; Runway'!N18,IF('Kedge P&amp;L, Burn &amp; Runway'!N18="","",-'Kedge P&amp;L, Burn &amp; Runway'!O17&gt;'Kedge P&amp;L, Burn &amp; Runway'!N18))="",FALSE,IF(ISERROR(-'Kedge P&amp;L, Burn &amp; Runway'!O17&gt;'Kedge P&amp;L, Burn &amp; Runway'!N18),-'Kedge P&amp;L, Burn &amp; Runway'!O17&gt;'Kedge P&amp;L, Burn &amp; Runway'!N18,IF('Kedge P&amp;L, Burn &amp; Runway'!N18="","",-'Kedge P&amp;L, Burn &amp; Runway'!O17&gt;'Kedge P&amp;L, Burn &amp; Runway'!N18))),-'Kedge P&amp;L, Burn &amp; Runway'!O17,IF('Kedge P&amp;L, Burn &amp; Runway'!N18="","",'Kedge P&amp;L, Burn &amp; Runway'!N18))</f>
        <v>0</v>
      </c>
      <c r="P18" s="9">
        <f>IF(IF(IF(ISERROR(-'Kedge P&amp;L, Burn &amp; Runway'!P17&gt;'Kedge P&amp;L, Burn &amp; Runway'!O18),-'Kedge P&amp;L, Burn &amp; Runway'!P17&gt;'Kedge P&amp;L, Burn &amp; Runway'!O18,IF('Kedge P&amp;L, Burn &amp; Runway'!O18="","",-'Kedge P&amp;L, Burn &amp; Runway'!P17&gt;'Kedge P&amp;L, Burn &amp; Runway'!O18))="",FALSE,IF(ISERROR(-'Kedge P&amp;L, Burn &amp; Runway'!P17&gt;'Kedge P&amp;L, Burn &amp; Runway'!O18),-'Kedge P&amp;L, Burn &amp; Runway'!P17&gt;'Kedge P&amp;L, Burn &amp; Runway'!O18,IF('Kedge P&amp;L, Burn &amp; Runway'!O18="","",-'Kedge P&amp;L, Burn &amp; Runway'!P17&gt;'Kedge P&amp;L, Burn &amp; Runway'!O18))),-'Kedge P&amp;L, Burn &amp; Runway'!P17,IF('Kedge P&amp;L, Burn &amp; Runway'!O18="","",'Kedge P&amp;L, Burn &amp; Runway'!O18))</f>
        <v>0</v>
      </c>
      <c r="Q18" s="9">
        <f>IF(IF(IF(ISERROR(-'Kedge P&amp;L, Burn &amp; Runway'!Q17&gt;'Kedge P&amp;L, Burn &amp; Runway'!P18),-'Kedge P&amp;L, Burn &amp; Runway'!Q17&gt;'Kedge P&amp;L, Burn &amp; Runway'!P18,IF('Kedge P&amp;L, Burn &amp; Runway'!P18="","",-'Kedge P&amp;L, Burn &amp; Runway'!Q17&gt;'Kedge P&amp;L, Burn &amp; Runway'!P18))="",FALSE,IF(ISERROR(-'Kedge P&amp;L, Burn &amp; Runway'!Q17&gt;'Kedge P&amp;L, Burn &amp; Runway'!P18),-'Kedge P&amp;L, Burn &amp; Runway'!Q17&gt;'Kedge P&amp;L, Burn &amp; Runway'!P18,IF('Kedge P&amp;L, Burn &amp; Runway'!P18="","",-'Kedge P&amp;L, Burn &amp; Runway'!Q17&gt;'Kedge P&amp;L, Burn &amp; Runway'!P18))),-'Kedge P&amp;L, Burn &amp; Runway'!Q17,IF('Kedge P&amp;L, Burn &amp; Runway'!P18="","",'Kedge P&amp;L, Burn &amp; Runway'!P18))</f>
        <v>0</v>
      </c>
      <c r="R18" s="9">
        <f>IF(IF(IF(ISERROR(-'Kedge P&amp;L, Burn &amp; Runway'!R17&gt;'Kedge P&amp;L, Burn &amp; Runway'!Q18),-'Kedge P&amp;L, Burn &amp; Runway'!R17&gt;'Kedge P&amp;L, Burn &amp; Runway'!Q18,IF('Kedge P&amp;L, Burn &amp; Runway'!Q18="","",-'Kedge P&amp;L, Burn &amp; Runway'!R17&gt;'Kedge P&amp;L, Burn &amp; Runway'!Q18))="",FALSE,IF(ISERROR(-'Kedge P&amp;L, Burn &amp; Runway'!R17&gt;'Kedge P&amp;L, Burn &amp; Runway'!Q18),-'Kedge P&amp;L, Burn &amp; Runway'!R17&gt;'Kedge P&amp;L, Burn &amp; Runway'!Q18,IF('Kedge P&amp;L, Burn &amp; Runway'!Q18="","",-'Kedge P&amp;L, Burn &amp; Runway'!R17&gt;'Kedge P&amp;L, Burn &amp; Runway'!Q18))),-'Kedge P&amp;L, Burn &amp; Runway'!R17,IF('Kedge P&amp;L, Burn &amp; Runway'!Q18="","",'Kedge P&amp;L, Burn &amp; Runway'!Q18))</f>
        <v>0</v>
      </c>
      <c r="S18" s="9">
        <f>IF(IF(IF(ISERROR(-'Kedge P&amp;L, Burn &amp; Runway'!S17&gt;'Kedge P&amp;L, Burn &amp; Runway'!R18),-'Kedge P&amp;L, Burn &amp; Runway'!S17&gt;'Kedge P&amp;L, Burn &amp; Runway'!R18,IF('Kedge P&amp;L, Burn &amp; Runway'!R18="","",-'Kedge P&amp;L, Burn &amp; Runway'!S17&gt;'Kedge P&amp;L, Burn &amp; Runway'!R18))="",FALSE,IF(ISERROR(-'Kedge P&amp;L, Burn &amp; Runway'!S17&gt;'Kedge P&amp;L, Burn &amp; Runway'!R18),-'Kedge P&amp;L, Burn &amp; Runway'!S17&gt;'Kedge P&amp;L, Burn &amp; Runway'!R18,IF('Kedge P&amp;L, Burn &amp; Runway'!R18="","",-'Kedge P&amp;L, Burn &amp; Runway'!S17&gt;'Kedge P&amp;L, Burn &amp; Runway'!R18))),-'Kedge P&amp;L, Burn &amp; Runway'!S17,IF('Kedge P&amp;L, Burn &amp; Runway'!R18="","",'Kedge P&amp;L, Burn &amp; Runway'!R18))</f>
        <v>0</v>
      </c>
      <c r="T18" s="9">
        <f>IF(IF(IF(ISERROR(-'Kedge P&amp;L, Burn &amp; Runway'!T17&gt;'Kedge P&amp;L, Burn &amp; Runway'!S18),-'Kedge P&amp;L, Burn &amp; Runway'!T17&gt;'Kedge P&amp;L, Burn &amp; Runway'!S18,IF('Kedge P&amp;L, Burn &amp; Runway'!S18="","",-'Kedge P&amp;L, Burn &amp; Runway'!T17&gt;'Kedge P&amp;L, Burn &amp; Runway'!S18))="",FALSE,IF(ISERROR(-'Kedge P&amp;L, Burn &amp; Runway'!T17&gt;'Kedge P&amp;L, Burn &amp; Runway'!S18),-'Kedge P&amp;L, Burn &amp; Runway'!T17&gt;'Kedge P&amp;L, Burn &amp; Runway'!S18,IF('Kedge P&amp;L, Burn &amp; Runway'!S18="","",-'Kedge P&amp;L, Burn &amp; Runway'!T17&gt;'Kedge P&amp;L, Burn &amp; Runway'!S18))),-'Kedge P&amp;L, Burn &amp; Runway'!T17,IF('Kedge P&amp;L, Burn &amp; Runway'!S18="","",'Kedge P&amp;L, Burn &amp; Runway'!S18))</f>
        <v>0</v>
      </c>
      <c r="U18" s="9">
        <f>IF(IF(IF(ISERROR(-'Kedge P&amp;L, Burn &amp; Runway'!U17&gt;'Kedge P&amp;L, Burn &amp; Runway'!T18),-'Kedge P&amp;L, Burn &amp; Runway'!U17&gt;'Kedge P&amp;L, Burn &amp; Runway'!T18,IF('Kedge P&amp;L, Burn &amp; Runway'!T18="","",-'Kedge P&amp;L, Burn &amp; Runway'!U17&gt;'Kedge P&amp;L, Burn &amp; Runway'!T18))="",FALSE,IF(ISERROR(-'Kedge P&amp;L, Burn &amp; Runway'!U17&gt;'Kedge P&amp;L, Burn &amp; Runway'!T18),-'Kedge P&amp;L, Burn &amp; Runway'!U17&gt;'Kedge P&amp;L, Burn &amp; Runway'!T18,IF('Kedge P&amp;L, Burn &amp; Runway'!T18="","",-'Kedge P&amp;L, Burn &amp; Runway'!U17&gt;'Kedge P&amp;L, Burn &amp; Runway'!T18))),-'Kedge P&amp;L, Burn &amp; Runway'!U17,IF('Kedge P&amp;L, Burn &amp; Runway'!T18="","",'Kedge P&amp;L, Burn &amp; Runway'!T18))</f>
        <v>0</v>
      </c>
      <c r="V18" s="9">
        <f>IF(IF(IF(ISERROR(-'Kedge P&amp;L, Burn &amp; Runway'!V17&gt;'Kedge P&amp;L, Burn &amp; Runway'!U18),-'Kedge P&amp;L, Burn &amp; Runway'!V17&gt;'Kedge P&amp;L, Burn &amp; Runway'!U18,IF('Kedge P&amp;L, Burn &amp; Runway'!U18="","",-'Kedge P&amp;L, Burn &amp; Runway'!V17&gt;'Kedge P&amp;L, Burn &amp; Runway'!U18))="",FALSE,IF(ISERROR(-'Kedge P&amp;L, Burn &amp; Runway'!V17&gt;'Kedge P&amp;L, Burn &amp; Runway'!U18),-'Kedge P&amp;L, Burn &amp; Runway'!V17&gt;'Kedge P&amp;L, Burn &amp; Runway'!U18,IF('Kedge P&amp;L, Burn &amp; Runway'!U18="","",-'Kedge P&amp;L, Burn &amp; Runway'!V17&gt;'Kedge P&amp;L, Burn &amp; Runway'!U18))),-'Kedge P&amp;L, Burn &amp; Runway'!V17,IF('Kedge P&amp;L, Burn &amp; Runway'!U18="","",'Kedge P&amp;L, Burn &amp; Runway'!U18))</f>
        <v>84.00000000000728</v>
      </c>
      <c r="W18" s="9">
        <f>IF(IF(IF(ISERROR(-'Kedge P&amp;L, Burn &amp; Runway'!W17&gt;'Kedge P&amp;L, Burn &amp; Runway'!V18),-'Kedge P&amp;L, Burn &amp; Runway'!W17&gt;'Kedge P&amp;L, Burn &amp; Runway'!V18,IF('Kedge P&amp;L, Burn &amp; Runway'!V18="","",-'Kedge P&amp;L, Burn &amp; Runway'!W17&gt;'Kedge P&amp;L, Burn &amp; Runway'!V18))="",FALSE,IF(ISERROR(-'Kedge P&amp;L, Burn &amp; Runway'!W17&gt;'Kedge P&amp;L, Burn &amp; Runway'!V18),-'Kedge P&amp;L, Burn &amp; Runway'!W17&gt;'Kedge P&amp;L, Burn &amp; Runway'!V18,IF('Kedge P&amp;L, Burn &amp; Runway'!V18="","",-'Kedge P&amp;L, Burn &amp; Runway'!W17&gt;'Kedge P&amp;L, Burn &amp; Runway'!V18))),-'Kedge P&amp;L, Burn &amp; Runway'!W17,IF('Kedge P&amp;L, Burn &amp; Runway'!V18="","",'Kedge P&amp;L, Burn &amp; Runway'!V18))</f>
        <v>4174.000000000007</v>
      </c>
      <c r="X18" s="9">
        <f>IF(IF(IF(ISERROR(-'Kedge P&amp;L, Burn &amp; Runway'!X17&gt;'Kedge P&amp;L, Burn &amp; Runway'!W18),-'Kedge P&amp;L, Burn &amp; Runway'!X17&gt;'Kedge P&amp;L, Burn &amp; Runway'!W18,IF('Kedge P&amp;L, Burn &amp; Runway'!W18="","",-'Kedge P&amp;L, Burn &amp; Runway'!X17&gt;'Kedge P&amp;L, Burn &amp; Runway'!W18))="",FALSE,IF(ISERROR(-'Kedge P&amp;L, Burn &amp; Runway'!X17&gt;'Kedge P&amp;L, Burn &amp; Runway'!W18),-'Kedge P&amp;L, Burn &amp; Runway'!X17&gt;'Kedge P&amp;L, Burn &amp; Runway'!W18,IF('Kedge P&amp;L, Burn &amp; Runway'!W18="","",-'Kedge P&amp;L, Burn &amp; Runway'!X17&gt;'Kedge P&amp;L, Burn &amp; Runway'!W18))),-'Kedge P&amp;L, Burn &amp; Runway'!X17,IF('Kedge P&amp;L, Burn &amp; Runway'!W18="","",'Kedge P&amp;L, Burn &amp; Runway'!W18))</f>
        <v>8264.000000000007</v>
      </c>
      <c r="Y18" s="9">
        <f>IF(IF(IF(ISERROR(-'Kedge P&amp;L, Burn &amp; Runway'!Y17&gt;'Kedge P&amp;L, Burn &amp; Runway'!X18),-'Kedge P&amp;L, Burn &amp; Runway'!Y17&gt;'Kedge P&amp;L, Burn &amp; Runway'!X18,IF('Kedge P&amp;L, Burn &amp; Runway'!X18="","",-'Kedge P&amp;L, Burn &amp; Runway'!Y17&gt;'Kedge P&amp;L, Burn &amp; Runway'!X18))="",FALSE,IF(ISERROR(-'Kedge P&amp;L, Burn &amp; Runway'!Y17&gt;'Kedge P&amp;L, Burn &amp; Runway'!X18),-'Kedge P&amp;L, Burn &amp; Runway'!Y17&gt;'Kedge P&amp;L, Burn &amp; Runway'!X18,IF('Kedge P&amp;L, Burn &amp; Runway'!X18="","",-'Kedge P&amp;L, Burn &amp; Runway'!Y17&gt;'Kedge P&amp;L, Burn &amp; Runway'!X18))),-'Kedge P&amp;L, Burn &amp; Runway'!Y17,IF('Kedge P&amp;L, Burn &amp; Runway'!X18="","",'Kedge P&amp;L, Burn &amp; Runway'!X18))</f>
        <v>12354.000000000007</v>
      </c>
    </row>
    <row r="19">
      <c r="A19" t="inlineStr" s="6">
        <is>
          <t xml:space="preserve">Runway (months)</t>
        </is>
      </c>
      <c r="B19" t="str" s="15">
        <f>IF(IF(IF(ISERROR('Kedge P&amp;L, Burn &amp; Runway'!B15&gt;0),'Kedge P&amp;L, Burn &amp; Runway'!B15&gt;0,IF('Kedge P&amp;L, Burn &amp; Runway'!B15="","",'Kedge P&amp;L, Burn &amp; Runway'!B15&gt;0))="",FALSE,IF(ISERROR('Kedge P&amp;L, Burn &amp; Runway'!B15&gt;0),'Kedge P&amp;L, Burn &amp; Runway'!B15&gt;0,IF('Kedge P&amp;L, Burn &amp; Runway'!B15="","",'Kedge P&amp;L, Burn &amp; Runway'!B15&gt;0))),IF(IF(IF(ISERROR('Kedge P&amp;L, Burn &amp; Runway'!B17&gt;0),'Kedge P&amp;L, Burn &amp; Runway'!B17&gt;0,IF('Kedge P&amp;L, Burn &amp; Runway'!B17="","",'Kedge P&amp;L, Burn &amp; Runway'!B17&gt;0))="",FALSE,IF(ISERROR('Kedge P&amp;L, Burn &amp; Runway'!B17&gt;0),'Kedge P&amp;L, Burn &amp; Runway'!B17&gt;0,IF('Kedge P&amp;L, Burn &amp; Runway'!B17="","",'Kedge P&amp;L, Burn &amp; Runway'!B17&gt;0))),'Kedge P&amp;L, Burn &amp; Runway'!B17/'Kedge P&amp;L, Burn &amp; Runway'!B15,0),"")</f>
        <v/>
      </c>
      <c r="C19" t="str" s="15">
        <f>IF(IF(IF(ISERROR('Kedge P&amp;L, Burn &amp; Runway'!C15&gt;0),'Kedge P&amp;L, Burn &amp; Runway'!C15&gt;0,IF('Kedge P&amp;L, Burn &amp; Runway'!C15="","",'Kedge P&amp;L, Burn &amp; Runway'!C15&gt;0))="",FALSE,IF(ISERROR('Kedge P&amp;L, Burn &amp; Runway'!C15&gt;0),'Kedge P&amp;L, Burn &amp; Runway'!C15&gt;0,IF('Kedge P&amp;L, Burn &amp; Runway'!C15="","",'Kedge P&amp;L, Burn &amp; Runway'!C15&gt;0))),IF(IF(IF(ISERROR('Kedge P&amp;L, Burn &amp; Runway'!C17&gt;0),'Kedge P&amp;L, Burn &amp; Runway'!C17&gt;0,IF('Kedge P&amp;L, Burn &amp; Runway'!C17="","",'Kedge P&amp;L, Burn &amp; Runway'!C17&gt;0))="",FALSE,IF(ISERROR('Kedge P&amp;L, Burn &amp; Runway'!C17&gt;0),'Kedge P&amp;L, Burn &amp; Runway'!C17&gt;0,IF('Kedge P&amp;L, Burn &amp; Runway'!C17="","",'Kedge P&amp;L, Burn &amp; Runway'!C17&gt;0))),'Kedge P&amp;L, Burn &amp; Runway'!C17/'Kedge P&amp;L, Burn &amp; Runway'!C15,0),"")</f>
        <v/>
      </c>
      <c r="D19" t="str" s="15">
        <f>IF(IF(IF(ISERROR('Kedge P&amp;L, Burn &amp; Runway'!D15&gt;0),'Kedge P&amp;L, Burn &amp; Runway'!D15&gt;0,IF('Kedge P&amp;L, Burn &amp; Runway'!D15="","",'Kedge P&amp;L, Burn &amp; Runway'!D15&gt;0))="",FALSE,IF(ISERROR('Kedge P&amp;L, Burn &amp; Runway'!D15&gt;0),'Kedge P&amp;L, Burn &amp; Runway'!D15&gt;0,IF('Kedge P&amp;L, Burn &amp; Runway'!D15="","",'Kedge P&amp;L, Burn &amp; Runway'!D15&gt;0))),IF(IF(IF(ISERROR('Kedge P&amp;L, Burn &amp; Runway'!D17&gt;0),'Kedge P&amp;L, Burn &amp; Runway'!D17&gt;0,IF('Kedge P&amp;L, Burn &amp; Runway'!D17="","",'Kedge P&amp;L, Burn &amp; Runway'!D17&gt;0))="",FALSE,IF(ISERROR('Kedge P&amp;L, Burn &amp; Runway'!D17&gt;0),'Kedge P&amp;L, Burn &amp; Runway'!D17&gt;0,IF('Kedge P&amp;L, Burn &amp; Runway'!D17="","",'Kedge P&amp;L, Burn &amp; Runway'!D17&gt;0))),'Kedge P&amp;L, Burn &amp; Runway'!D17/'Kedge P&amp;L, Burn &amp; Runway'!D15,0),"")</f>
        <v/>
      </c>
      <c r="E19" t="str" s="15">
        <f>IF(IF(IF(ISERROR('Kedge P&amp;L, Burn &amp; Runway'!E15&gt;0),'Kedge P&amp;L, Burn &amp; Runway'!E15&gt;0,IF('Kedge P&amp;L, Burn &amp; Runway'!E15="","",'Kedge P&amp;L, Burn &amp; Runway'!E15&gt;0))="",FALSE,IF(ISERROR('Kedge P&amp;L, Burn &amp; Runway'!E15&gt;0),'Kedge P&amp;L, Burn &amp; Runway'!E15&gt;0,IF('Kedge P&amp;L, Burn &amp; Runway'!E15="","",'Kedge P&amp;L, Burn &amp; Runway'!E15&gt;0))),IF(IF(IF(ISERROR('Kedge P&amp;L, Burn &amp; Runway'!E17&gt;0),'Kedge P&amp;L, Burn &amp; Runway'!E17&gt;0,IF('Kedge P&amp;L, Burn &amp; Runway'!E17="","",'Kedge P&amp;L, Burn &amp; Runway'!E17&gt;0))="",FALSE,IF(ISERROR('Kedge P&amp;L, Burn &amp; Runway'!E17&gt;0),'Kedge P&amp;L, Burn &amp; Runway'!E17&gt;0,IF('Kedge P&amp;L, Burn &amp; Runway'!E17="","",'Kedge P&amp;L, Burn &amp; Runway'!E17&gt;0))),'Kedge P&amp;L, Burn &amp; Runway'!E17/'Kedge P&amp;L, Burn &amp; Runway'!E15,0),"")</f>
        <v/>
      </c>
      <c r="F19" t="str" s="15">
        <f>IF(IF(IF(ISERROR('Kedge P&amp;L, Burn &amp; Runway'!F15&gt;0),'Kedge P&amp;L, Burn &amp; Runway'!F15&gt;0,IF('Kedge P&amp;L, Burn &amp; Runway'!F15="","",'Kedge P&amp;L, Burn &amp; Runway'!F15&gt;0))="",FALSE,IF(ISERROR('Kedge P&amp;L, Burn &amp; Runway'!F15&gt;0),'Kedge P&amp;L, Burn &amp; Runway'!F15&gt;0,IF('Kedge P&amp;L, Burn &amp; Runway'!F15="","",'Kedge P&amp;L, Burn &amp; Runway'!F15&gt;0))),IF(IF(IF(ISERROR('Kedge P&amp;L, Burn &amp; Runway'!F17&gt;0),'Kedge P&amp;L, Burn &amp; Runway'!F17&gt;0,IF('Kedge P&amp;L, Burn &amp; Runway'!F17="","",'Kedge P&amp;L, Burn &amp; Runway'!F17&gt;0))="",FALSE,IF(ISERROR('Kedge P&amp;L, Burn &amp; Runway'!F17&gt;0),'Kedge P&amp;L, Burn &amp; Runway'!F17&gt;0,IF('Kedge P&amp;L, Burn &amp; Runway'!F17="","",'Kedge P&amp;L, Burn &amp; Runway'!F17&gt;0))),'Kedge P&amp;L, Burn &amp; Runway'!F17/'Kedge P&amp;L, Burn &amp; Runway'!F15,0),"")</f>
        <v/>
      </c>
      <c r="G19" t="str" s="15">
        <f>IF(IF(IF(ISERROR('Kedge P&amp;L, Burn &amp; Runway'!G15&gt;0),'Kedge P&amp;L, Burn &amp; Runway'!G15&gt;0,IF('Kedge P&amp;L, Burn &amp; Runway'!G15="","",'Kedge P&amp;L, Burn &amp; Runway'!G15&gt;0))="",FALSE,IF(ISERROR('Kedge P&amp;L, Burn &amp; Runway'!G15&gt;0),'Kedge P&amp;L, Burn &amp; Runway'!G15&gt;0,IF('Kedge P&amp;L, Burn &amp; Runway'!G15="","",'Kedge P&amp;L, Burn &amp; Runway'!G15&gt;0))),IF(IF(IF(ISERROR('Kedge P&amp;L, Burn &amp; Runway'!G17&gt;0),'Kedge P&amp;L, Burn &amp; Runway'!G17&gt;0,IF('Kedge P&amp;L, Burn &amp; Runway'!G17="","",'Kedge P&amp;L, Burn &amp; Runway'!G17&gt;0))="",FALSE,IF(ISERROR('Kedge P&amp;L, Burn &amp; Runway'!G17&gt;0),'Kedge P&amp;L, Burn &amp; Runway'!G17&gt;0,IF('Kedge P&amp;L, Burn &amp; Runway'!G17="","",'Kedge P&amp;L, Burn &amp; Runway'!G17&gt;0))),'Kedge P&amp;L, Burn &amp; Runway'!G17/'Kedge P&amp;L, Burn &amp; Runway'!G15,0),"")</f>
        <v/>
      </c>
      <c r="H19" s="15">
        <f>IF(IF(IF(ISERROR('Kedge P&amp;L, Burn &amp; Runway'!H15&gt;0),'Kedge P&amp;L, Burn &amp; Runway'!H15&gt;0,IF('Kedge P&amp;L, Burn &amp; Runway'!H15="","",'Kedge P&amp;L, Burn &amp; Runway'!H15&gt;0))="",FALSE,IF(ISERROR('Kedge P&amp;L, Burn &amp; Runway'!H15&gt;0),'Kedge P&amp;L, Burn &amp; Runway'!H15&gt;0,IF('Kedge P&amp;L, Burn &amp; Runway'!H15="","",'Kedge P&amp;L, Burn &amp; Runway'!H15&gt;0))),IF(IF(IF(ISERROR('Kedge P&amp;L, Burn &amp; Runway'!H17&gt;0),'Kedge P&amp;L, Burn &amp; Runway'!H17&gt;0,IF('Kedge P&amp;L, Burn &amp; Runway'!H17="","",'Kedge P&amp;L, Burn &amp; Runway'!H17&gt;0))="",FALSE,IF(ISERROR('Kedge P&amp;L, Burn &amp; Runway'!H17&gt;0),'Kedge P&amp;L, Burn &amp; Runway'!H17&gt;0,IF('Kedge P&amp;L, Burn &amp; Runway'!H17="","",'Kedge P&amp;L, Burn &amp; Runway'!H17&gt;0))),'Kedge P&amp;L, Burn &amp; Runway'!H17/'Kedge P&amp;L, Burn &amp; Runway'!H15,0),"")</f>
        <v>10.489501457037095</v>
      </c>
      <c r="I19" s="15">
        <f>IF(IF(IF(ISERROR('Kedge P&amp;L, Burn &amp; Runway'!I15&gt;0),'Kedge P&amp;L, Burn &amp; Runway'!I15&gt;0,IF('Kedge P&amp;L, Burn &amp; Runway'!I15="","",'Kedge P&amp;L, Burn &amp; Runway'!I15&gt;0))="",FALSE,IF(ISERROR('Kedge P&amp;L, Burn &amp; Runway'!I15&gt;0),'Kedge P&amp;L, Burn &amp; Runway'!I15&gt;0,IF('Kedge P&amp;L, Burn &amp; Runway'!I15="","",'Kedge P&amp;L, Burn &amp; Runway'!I15&gt;0))),IF(IF(IF(ISERROR('Kedge P&amp;L, Burn &amp; Runway'!I17&gt;0),'Kedge P&amp;L, Burn &amp; Runway'!I17&gt;0,IF('Kedge P&amp;L, Burn &amp; Runway'!I17="","",'Kedge P&amp;L, Burn &amp; Runway'!I17&gt;0))="",FALSE,IF(ISERROR('Kedge P&amp;L, Burn &amp; Runway'!I17&gt;0),'Kedge P&amp;L, Burn &amp; Runway'!I17&gt;0,IF('Kedge P&amp;L, Burn &amp; Runway'!I17="","",'Kedge P&amp;L, Burn &amp; Runway'!I17&gt;0))),'Kedge P&amp;L, Burn &amp; Runway'!I17/'Kedge P&amp;L, Burn &amp; Runway'!I15,0),"")</f>
        <v>10.138493961797076</v>
      </c>
      <c r="J19" s="15">
        <f>IF(IF(IF(ISERROR('Kedge P&amp;L, Burn &amp; Runway'!J15&gt;0),'Kedge P&amp;L, Burn &amp; Runway'!J15&gt;0,IF('Kedge P&amp;L, Burn &amp; Runway'!J15="","",'Kedge P&amp;L, Burn &amp; Runway'!J15&gt;0))="",FALSE,IF(ISERROR('Kedge P&amp;L, Burn &amp; Runway'!J15&gt;0),'Kedge P&amp;L, Burn &amp; Runway'!J15&gt;0,IF('Kedge P&amp;L, Burn &amp; Runway'!J15="","",'Kedge P&amp;L, Burn &amp; Runway'!J15&gt;0))),IF(IF(IF(ISERROR('Kedge P&amp;L, Burn &amp; Runway'!J17&gt;0),'Kedge P&amp;L, Burn &amp; Runway'!J17&gt;0,IF('Kedge P&amp;L, Burn &amp; Runway'!J17="","",'Kedge P&amp;L, Burn &amp; Runway'!J17&gt;0))="",FALSE,IF(ISERROR('Kedge P&amp;L, Burn &amp; Runway'!J17&gt;0),'Kedge P&amp;L, Burn &amp; Runway'!J17&gt;0,IF('Kedge P&amp;L, Burn &amp; Runway'!J17="","",'Kedge P&amp;L, Burn &amp; Runway'!J17&gt;0))),'Kedge P&amp;L, Burn &amp; Runway'!J17/'Kedge P&amp;L, Burn &amp; Runway'!J15,0),"")</f>
        <v>9.807138909194643</v>
      </c>
      <c r="K19" s="15">
        <f>IF(IF(IF(ISERROR('Kedge P&amp;L, Burn &amp; Runway'!K15&gt;0),'Kedge P&amp;L, Burn &amp; Runway'!K15&gt;0,IF('Kedge P&amp;L, Burn &amp; Runway'!K15="","",'Kedge P&amp;L, Burn &amp; Runway'!K15&gt;0))="",FALSE,IF(ISERROR('Kedge P&amp;L, Burn &amp; Runway'!K15&gt;0),'Kedge P&amp;L, Burn &amp; Runway'!K15&gt;0,IF('Kedge P&amp;L, Burn &amp; Runway'!K15="","",'Kedge P&amp;L, Burn &amp; Runway'!K15&gt;0))),IF(IF(IF(ISERROR('Kedge P&amp;L, Burn &amp; Runway'!K17&gt;0),'Kedge P&amp;L, Burn &amp; Runway'!K17&gt;0,IF('Kedge P&amp;L, Burn &amp; Runway'!K17="","",'Kedge P&amp;L, Burn &amp; Runway'!K17&gt;0))="",FALSE,IF(ISERROR('Kedge P&amp;L, Burn &amp; Runway'!K17&gt;0),'Kedge P&amp;L, Burn &amp; Runway'!K17&gt;0,IF('Kedge P&amp;L, Burn &amp; Runway'!K17="","",'Kedge P&amp;L, Burn &amp; Runway'!K17&gt;0))),'Kedge P&amp;L, Burn &amp; Runway'!K17/'Kedge P&amp;L, Burn &amp; Runway'!K15,0),"")</f>
        <v>9.499599144842328</v>
      </c>
      <c r="L19" s="15">
        <f>IF(IF(IF(ISERROR('Kedge P&amp;L, Burn &amp; Runway'!L15&gt;0),'Kedge P&amp;L, Burn &amp; Runway'!L15&gt;0,IF('Kedge P&amp;L, Burn &amp; Runway'!L15="","",'Kedge P&amp;L, Burn &amp; Runway'!L15&gt;0))="",FALSE,IF(ISERROR('Kedge P&amp;L, Burn &amp; Runway'!L15&gt;0),'Kedge P&amp;L, Burn &amp; Runway'!L15&gt;0,IF('Kedge P&amp;L, Burn &amp; Runway'!L15="","",'Kedge P&amp;L, Burn &amp; Runway'!L15&gt;0))),IF(IF(IF(ISERROR('Kedge P&amp;L, Burn &amp; Runway'!L17&gt;0),'Kedge P&amp;L, Burn &amp; Runway'!L17&gt;0,IF('Kedge P&amp;L, Burn &amp; Runway'!L17="","",'Kedge P&amp;L, Burn &amp; Runway'!L17&gt;0))="",FALSE,IF(ISERROR('Kedge P&amp;L, Burn &amp; Runway'!L17&gt;0),'Kedge P&amp;L, Burn &amp; Runway'!L17&gt;0,IF('Kedge P&amp;L, Burn &amp; Runway'!L17="","",'Kedge P&amp;L, Burn &amp; Runway'!L17&gt;0))),'Kedge P&amp;L, Burn &amp; Runway'!L17/'Kedge P&amp;L, Burn &amp; Runway'!L15,0),"")</f>
        <v>9.221302552938035</v>
      </c>
      <c r="M19" s="15">
        <f>IF(IF(IF(ISERROR('Kedge P&amp;L, Burn &amp; Runway'!M15&gt;0),'Kedge P&amp;L, Burn &amp; Runway'!M15&gt;0,IF('Kedge P&amp;L, Burn &amp; Runway'!M15="","",'Kedge P&amp;L, Burn &amp; Runway'!M15&gt;0))="",FALSE,IF(ISERROR('Kedge P&amp;L, Burn &amp; Runway'!M15&gt;0),'Kedge P&amp;L, Burn &amp; Runway'!M15&gt;0,IF('Kedge P&amp;L, Burn &amp; Runway'!M15="","",'Kedge P&amp;L, Burn &amp; Runway'!M15&gt;0))),IF(IF(IF(ISERROR('Kedge P&amp;L, Burn &amp; Runway'!M17&gt;0),'Kedge P&amp;L, Burn &amp; Runway'!M17&gt;0,IF('Kedge P&amp;L, Burn &amp; Runway'!M17="","",'Kedge P&amp;L, Burn &amp; Runway'!M17&gt;0))="",FALSE,IF(ISERROR('Kedge P&amp;L, Burn &amp; Runway'!M17&gt;0),'Kedge P&amp;L, Burn &amp; Runway'!M17&gt;0,IF('Kedge P&amp;L, Burn &amp; Runway'!M17="","",'Kedge P&amp;L, Burn &amp; Runway'!M17&gt;0))),'Kedge P&amp;L, Burn &amp; Runway'!M17/'Kedge P&amp;L, Burn &amp; Runway'!M15,0),"")</f>
        <v>8.979462102689485</v>
      </c>
      <c r="N19" s="15">
        <f>IF(IF(IF(ISERROR('Kedge P&amp;L, Burn &amp; Runway'!N15&gt;0),'Kedge P&amp;L, Burn &amp; Runway'!N15&gt;0,IF('Kedge P&amp;L, Burn &amp; Runway'!N15="","",'Kedge P&amp;L, Burn &amp; Runway'!N15&gt;0))="",FALSE,IF(ISERROR('Kedge P&amp;L, Burn &amp; Runway'!N15&gt;0),'Kedge P&amp;L, Burn &amp; Runway'!N15&gt;0,IF('Kedge P&amp;L, Burn &amp; Runway'!N15="","",'Kedge P&amp;L, Burn &amp; Runway'!N15&gt;0))),IF(IF(IF(ISERROR('Kedge P&amp;L, Burn &amp; Runway'!N17&gt;0),'Kedge P&amp;L, Burn &amp; Runway'!N17&gt;0,IF('Kedge P&amp;L, Burn &amp; Runway'!N17="","",'Kedge P&amp;L, Burn &amp; Runway'!N17&gt;0))="",FALSE,IF(ISERROR('Kedge P&amp;L, Burn &amp; Runway'!N17&gt;0),'Kedge P&amp;L, Burn &amp; Runway'!N17&gt;0,IF('Kedge P&amp;L, Burn &amp; Runway'!N17="","",'Kedge P&amp;L, Burn &amp; Runway'!N17&gt;0))),'Kedge P&amp;L, Burn &amp; Runway'!N17/'Kedge P&amp;L, Burn &amp; Runway'!N15,0),"")</f>
        <v>7.979462102689485</v>
      </c>
      <c r="O19" s="15">
        <f>IF(IF(IF(ISERROR('Kedge P&amp;L, Burn &amp; Runway'!O15&gt;0),'Kedge P&amp;L, Burn &amp; Runway'!O15&gt;0,IF('Kedge P&amp;L, Burn &amp; Runway'!O15="","",'Kedge P&amp;L, Burn &amp; Runway'!O15&gt;0))="",FALSE,IF(ISERROR('Kedge P&amp;L, Burn &amp; Runway'!O15&gt;0),'Kedge P&amp;L, Burn &amp; Runway'!O15&gt;0,IF('Kedge P&amp;L, Burn &amp; Runway'!O15="","",'Kedge P&amp;L, Burn &amp; Runway'!O15&gt;0))),IF(IF(IF(ISERROR('Kedge P&amp;L, Burn &amp; Runway'!O17&gt;0),'Kedge P&amp;L, Burn &amp; Runway'!O17&gt;0,IF('Kedge P&amp;L, Burn &amp; Runway'!O17="","",'Kedge P&amp;L, Burn &amp; Runway'!O17&gt;0))="",FALSE,IF(ISERROR('Kedge P&amp;L, Burn &amp; Runway'!O17&gt;0),'Kedge P&amp;L, Burn &amp; Runway'!O17&gt;0,IF('Kedge P&amp;L, Burn &amp; Runway'!O17="","",'Kedge P&amp;L, Burn &amp; Runway'!O17&gt;0))),'Kedge P&amp;L, Burn &amp; Runway'!O17/'Kedge P&amp;L, Burn &amp; Runway'!O15,0),"")</f>
        <v>6.979462102689485</v>
      </c>
      <c r="P19" s="15">
        <f>IF(IF(IF(ISERROR('Kedge P&amp;L, Burn &amp; Runway'!P15&gt;0),'Kedge P&amp;L, Burn &amp; Runway'!P15&gt;0,IF('Kedge P&amp;L, Burn &amp; Runway'!P15="","",'Kedge P&amp;L, Burn &amp; Runway'!P15&gt;0))="",FALSE,IF(ISERROR('Kedge P&amp;L, Burn &amp; Runway'!P15&gt;0),'Kedge P&amp;L, Burn &amp; Runway'!P15&gt;0,IF('Kedge P&amp;L, Burn &amp; Runway'!P15="","",'Kedge P&amp;L, Burn &amp; Runway'!P15&gt;0))),IF(IF(IF(ISERROR('Kedge P&amp;L, Burn &amp; Runway'!P17&gt;0),'Kedge P&amp;L, Burn &amp; Runway'!P17&gt;0,IF('Kedge P&amp;L, Burn &amp; Runway'!P17="","",'Kedge P&amp;L, Burn &amp; Runway'!P17&gt;0))="",FALSE,IF(ISERROR('Kedge P&amp;L, Burn &amp; Runway'!P17&gt;0),'Kedge P&amp;L, Burn &amp; Runway'!P17&gt;0,IF('Kedge P&amp;L, Burn &amp; Runway'!P17="","",'Kedge P&amp;L, Burn &amp; Runway'!P17&gt;0))),'Kedge P&amp;L, Burn &amp; Runway'!P17/'Kedge P&amp;L, Burn &amp; Runway'!P15,0),"")</f>
        <v>5.979462102689485</v>
      </c>
      <c r="Q19" s="15">
        <f>IF(IF(IF(ISERROR('Kedge P&amp;L, Burn &amp; Runway'!Q15&gt;0),'Kedge P&amp;L, Burn &amp; Runway'!Q15&gt;0,IF('Kedge P&amp;L, Burn &amp; Runway'!Q15="","",'Kedge P&amp;L, Burn &amp; Runway'!Q15&gt;0))="",FALSE,IF(ISERROR('Kedge P&amp;L, Burn &amp; Runway'!Q15&gt;0),'Kedge P&amp;L, Burn &amp; Runway'!Q15&gt;0,IF('Kedge P&amp;L, Burn &amp; Runway'!Q15="","",'Kedge P&amp;L, Burn &amp; Runway'!Q15&gt;0))),IF(IF(IF(ISERROR('Kedge P&amp;L, Burn &amp; Runway'!Q17&gt;0),'Kedge P&amp;L, Burn &amp; Runway'!Q17&gt;0,IF('Kedge P&amp;L, Burn &amp; Runway'!Q17="","",'Kedge P&amp;L, Burn &amp; Runway'!Q17&gt;0))="",FALSE,IF(ISERROR('Kedge P&amp;L, Burn &amp; Runway'!Q17&gt;0),'Kedge P&amp;L, Burn &amp; Runway'!Q17&gt;0,IF('Kedge P&amp;L, Burn &amp; Runway'!Q17="","",'Kedge P&amp;L, Burn &amp; Runway'!Q17&gt;0))),'Kedge P&amp;L, Burn &amp; Runway'!Q17/'Kedge P&amp;L, Burn &amp; Runway'!Q15,0),"")</f>
        <v>4.979462102689485</v>
      </c>
      <c r="R19" s="15">
        <f>IF(IF(IF(ISERROR('Kedge P&amp;L, Burn &amp; Runway'!R15&gt;0),'Kedge P&amp;L, Burn &amp; Runway'!R15&gt;0,IF('Kedge P&amp;L, Burn &amp; Runway'!R15="","",'Kedge P&amp;L, Burn &amp; Runway'!R15&gt;0))="",FALSE,IF(ISERROR('Kedge P&amp;L, Burn &amp; Runway'!R15&gt;0),'Kedge P&amp;L, Burn &amp; Runway'!R15&gt;0,IF('Kedge P&amp;L, Burn &amp; Runway'!R15="","",'Kedge P&amp;L, Burn &amp; Runway'!R15&gt;0))),IF(IF(IF(ISERROR('Kedge P&amp;L, Burn &amp; Runway'!R17&gt;0),'Kedge P&amp;L, Burn &amp; Runway'!R17&gt;0,IF('Kedge P&amp;L, Burn &amp; Runway'!R17="","",'Kedge P&amp;L, Burn &amp; Runway'!R17&gt;0))="",FALSE,IF(ISERROR('Kedge P&amp;L, Burn &amp; Runway'!R17&gt;0),'Kedge P&amp;L, Burn &amp; Runway'!R17&gt;0,IF('Kedge P&amp;L, Burn &amp; Runway'!R17="","",'Kedge P&amp;L, Burn &amp; Runway'!R17&gt;0))),'Kedge P&amp;L, Burn &amp; Runway'!R17/'Kedge P&amp;L, Burn &amp; Runway'!R15,0),"")</f>
        <v>3.9794621026894847</v>
      </c>
      <c r="S19" s="15">
        <f>IF(IF(IF(ISERROR('Kedge P&amp;L, Burn &amp; Runway'!S15&gt;0),'Kedge P&amp;L, Burn &amp; Runway'!S15&gt;0,IF('Kedge P&amp;L, Burn &amp; Runway'!S15="","",'Kedge P&amp;L, Burn &amp; Runway'!S15&gt;0))="",FALSE,IF(ISERROR('Kedge P&amp;L, Burn &amp; Runway'!S15&gt;0),'Kedge P&amp;L, Burn &amp; Runway'!S15&gt;0,IF('Kedge P&amp;L, Burn &amp; Runway'!S15="","",'Kedge P&amp;L, Burn &amp; Runway'!S15&gt;0))),IF(IF(IF(ISERROR('Kedge P&amp;L, Burn &amp; Runway'!S17&gt;0),'Kedge P&amp;L, Burn &amp; Runway'!S17&gt;0,IF('Kedge P&amp;L, Burn &amp; Runway'!S17="","",'Kedge P&amp;L, Burn &amp; Runway'!S17&gt;0))="",FALSE,IF(ISERROR('Kedge P&amp;L, Burn &amp; Runway'!S17&gt;0),'Kedge P&amp;L, Burn &amp; Runway'!S17&gt;0,IF('Kedge P&amp;L, Burn &amp; Runway'!S17="","",'Kedge P&amp;L, Burn &amp; Runway'!S17&gt;0))),'Kedge P&amp;L, Burn &amp; Runway'!S17/'Kedge P&amp;L, Burn &amp; Runway'!S15,0),"")</f>
        <v>2.9794621026894847</v>
      </c>
      <c r="T19" s="15">
        <f>IF(IF(IF(ISERROR('Kedge P&amp;L, Burn &amp; Runway'!T15&gt;0),'Kedge P&amp;L, Burn &amp; Runway'!T15&gt;0,IF('Kedge P&amp;L, Burn &amp; Runway'!T15="","",'Kedge P&amp;L, Burn &amp; Runway'!T15&gt;0))="",FALSE,IF(ISERROR('Kedge P&amp;L, Burn &amp; Runway'!T15&gt;0),'Kedge P&amp;L, Burn &amp; Runway'!T15&gt;0,IF('Kedge P&amp;L, Burn &amp; Runway'!T15="","",'Kedge P&amp;L, Burn &amp; Runway'!T15&gt;0))),IF(IF(IF(ISERROR('Kedge P&amp;L, Burn &amp; Runway'!T17&gt;0),'Kedge P&amp;L, Burn &amp; Runway'!T17&gt;0,IF('Kedge P&amp;L, Burn &amp; Runway'!T17="","",'Kedge P&amp;L, Burn &amp; Runway'!T17&gt;0))="",FALSE,IF(ISERROR('Kedge P&amp;L, Burn &amp; Runway'!T17&gt;0),'Kedge P&amp;L, Burn &amp; Runway'!T17&gt;0,IF('Kedge P&amp;L, Burn &amp; Runway'!T17="","",'Kedge P&amp;L, Burn &amp; Runway'!T17&gt;0))),'Kedge P&amp;L, Burn &amp; Runway'!T17/'Kedge P&amp;L, Burn &amp; Runway'!T15,0),"")</f>
        <v>1.9794621026894847</v>
      </c>
      <c r="U19" s="15">
        <f>IF(IF(IF(ISERROR('Kedge P&amp;L, Burn &amp; Runway'!U15&gt;0),'Kedge P&amp;L, Burn &amp; Runway'!U15&gt;0,IF('Kedge P&amp;L, Burn &amp; Runway'!U15="","",'Kedge P&amp;L, Burn &amp; Runway'!U15&gt;0))="",FALSE,IF(ISERROR('Kedge P&amp;L, Burn &amp; Runway'!U15&gt;0),'Kedge P&amp;L, Burn &amp; Runway'!U15&gt;0,IF('Kedge P&amp;L, Burn &amp; Runway'!U15="","",'Kedge P&amp;L, Burn &amp; Runway'!U15&gt;0))),IF(IF(IF(ISERROR('Kedge P&amp;L, Burn &amp; Runway'!U17&gt;0),'Kedge P&amp;L, Burn &amp; Runway'!U17&gt;0,IF('Kedge P&amp;L, Burn &amp; Runway'!U17="","",'Kedge P&amp;L, Burn &amp; Runway'!U17&gt;0))="",FALSE,IF(ISERROR('Kedge P&amp;L, Burn &amp; Runway'!U17&gt;0),'Kedge P&amp;L, Burn &amp; Runway'!U17&gt;0,IF('Kedge P&amp;L, Burn &amp; Runway'!U17="","",'Kedge P&amp;L, Burn &amp; Runway'!U17&gt;0))),'Kedge P&amp;L, Burn &amp; Runway'!U17/'Kedge P&amp;L, Burn &amp; Runway'!U15,0),"")</f>
        <v>0.9794621026894847</v>
      </c>
      <c r="V19" s="15">
        <f>IF(IF(IF(ISERROR('Kedge P&amp;L, Burn &amp; Runway'!V15&gt;0),'Kedge P&amp;L, Burn &amp; Runway'!V15&gt;0,IF('Kedge P&amp;L, Burn &amp; Runway'!V15="","",'Kedge P&amp;L, Burn &amp; Runway'!V15&gt;0))="",FALSE,IF(ISERROR('Kedge P&amp;L, Burn &amp; Runway'!V15&gt;0),'Kedge P&amp;L, Burn &amp; Runway'!V15&gt;0,IF('Kedge P&amp;L, Burn &amp; Runway'!V15="","",'Kedge P&amp;L, Burn &amp; Runway'!V15&gt;0))),IF(IF(IF(ISERROR('Kedge P&amp;L, Burn &amp; Runway'!V17&gt;0),'Kedge P&amp;L, Burn &amp; Runway'!V17&gt;0,IF('Kedge P&amp;L, Burn &amp; Runway'!V17="","",'Kedge P&amp;L, Burn &amp; Runway'!V17&gt;0))="",FALSE,IF(ISERROR('Kedge P&amp;L, Burn &amp; Runway'!V17&gt;0),'Kedge P&amp;L, Burn &amp; Runway'!V17&gt;0,IF('Kedge P&amp;L, Burn &amp; Runway'!V17="","",'Kedge P&amp;L, Burn &amp; Runway'!V17&gt;0))),'Kedge P&amp;L, Burn &amp; Runway'!V17/'Kedge P&amp;L, Burn &amp; Runway'!V15,0),"")</f>
        <v>0</v>
      </c>
      <c r="W19" s="15">
        <f>IF(IF(IF(ISERROR('Kedge P&amp;L, Burn &amp; Runway'!W15&gt;0),'Kedge P&amp;L, Burn &amp; Runway'!W15&gt;0,IF('Kedge P&amp;L, Burn &amp; Runway'!W15="","",'Kedge P&amp;L, Burn &amp; Runway'!W15&gt;0))="",FALSE,IF(ISERROR('Kedge P&amp;L, Burn &amp; Runway'!W15&gt;0),'Kedge P&amp;L, Burn &amp; Runway'!W15&gt;0,IF('Kedge P&amp;L, Burn &amp; Runway'!W15="","",'Kedge P&amp;L, Burn &amp; Runway'!W15&gt;0))),IF(IF(IF(ISERROR('Kedge P&amp;L, Burn &amp; Runway'!W17&gt;0),'Kedge P&amp;L, Burn &amp; Runway'!W17&gt;0,IF('Kedge P&amp;L, Burn &amp; Runway'!W17="","",'Kedge P&amp;L, Burn &amp; Runway'!W17&gt;0))="",FALSE,IF(ISERROR('Kedge P&amp;L, Burn &amp; Runway'!W17&gt;0),'Kedge P&amp;L, Burn &amp; Runway'!W17&gt;0,IF('Kedge P&amp;L, Burn &amp; Runway'!W17="","",'Kedge P&amp;L, Burn &amp; Runway'!W17&gt;0))),'Kedge P&amp;L, Burn &amp; Runway'!W17/'Kedge P&amp;L, Burn &amp; Runway'!W15,0),"")</f>
        <v>0</v>
      </c>
      <c r="X19" s="15">
        <f>IF(IF(IF(ISERROR('Kedge P&amp;L, Burn &amp; Runway'!X15&gt;0),'Kedge P&amp;L, Burn &amp; Runway'!X15&gt;0,IF('Kedge P&amp;L, Burn &amp; Runway'!X15="","",'Kedge P&amp;L, Burn &amp; Runway'!X15&gt;0))="",FALSE,IF(ISERROR('Kedge P&amp;L, Burn &amp; Runway'!X15&gt;0),'Kedge P&amp;L, Burn &amp; Runway'!X15&gt;0,IF('Kedge P&amp;L, Burn &amp; Runway'!X15="","",'Kedge P&amp;L, Burn &amp; Runway'!X15&gt;0))),IF(IF(IF(ISERROR('Kedge P&amp;L, Burn &amp; Runway'!X17&gt;0),'Kedge P&amp;L, Burn &amp; Runway'!X17&gt;0,IF('Kedge P&amp;L, Burn &amp; Runway'!X17="","",'Kedge P&amp;L, Burn &amp; Runway'!X17&gt;0))="",FALSE,IF(ISERROR('Kedge P&amp;L, Burn &amp; Runway'!X17&gt;0),'Kedge P&amp;L, Burn &amp; Runway'!X17&gt;0,IF('Kedge P&amp;L, Burn &amp; Runway'!X17="","",'Kedge P&amp;L, Burn &amp; Runway'!X17&gt;0))),'Kedge P&amp;L, Burn &amp; Runway'!X17/'Kedge P&amp;L, Burn &amp; Runway'!X15,0),"")</f>
        <v>0</v>
      </c>
      <c r="Y19" s="15">
        <f>IF(IF(IF(ISERROR('Kedge P&amp;L, Burn &amp; Runway'!Y15&gt;0),'Kedge P&amp;L, Burn &amp; Runway'!Y15&gt;0,IF('Kedge P&amp;L, Burn &amp; Runway'!Y15="","",'Kedge P&amp;L, Burn &amp; Runway'!Y15&gt;0))="",FALSE,IF(ISERROR('Kedge P&amp;L, Burn &amp; Runway'!Y15&gt;0),'Kedge P&amp;L, Burn &amp; Runway'!Y15&gt;0,IF('Kedge P&amp;L, Burn &amp; Runway'!Y15="","",'Kedge P&amp;L, Burn &amp; Runway'!Y15&gt;0))),IF(IF(IF(ISERROR('Kedge P&amp;L, Burn &amp; Runway'!Y17&gt;0),'Kedge P&amp;L, Burn &amp; Runway'!Y17&gt;0,IF('Kedge P&amp;L, Burn &amp; Runway'!Y17="","",'Kedge P&amp;L, Burn &amp; Runway'!Y17&gt;0))="",FALSE,IF(ISERROR('Kedge P&amp;L, Burn &amp; Runway'!Y17&gt;0),'Kedge P&amp;L, Burn &amp; Runway'!Y17&gt;0,IF('Kedge P&amp;L, Burn &amp; Runway'!Y17="","",'Kedge P&amp;L, Burn &amp; Runway'!Y17&gt;0))),'Kedge P&amp;L, Burn &amp; Runway'!Y17/'Kedge P&amp;L, Burn &amp; Runway'!Y15,0),"")</f>
        <v>0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Y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Stress Unit Economics &amp; Funding</t>
        </is>
      </c>
    </row>
    <row r="2" ht="20" customHeight="1">
      <c r="A2" t="inlineStr" s="2">
        <is>
          <t xml:space="preserve">Operating Model · Stress: Sonnet on big repos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Contribution per active team</t>
        </is>
      </c>
      <c r="B5" s="16">
        <f>'Model inputs'!AA26*'Model inputs'!AA15*('Model inputs'!AA25*(1-'Model inputs'!AA24)-'Model inputs'!AA18)</f>
        <v>82.19999999999999</v>
      </c>
      <c r="C5" s="16">
        <f>'Model inputs'!AA26*'Model inputs'!AA15*('Model inputs'!AA25*(1-'Model inputs'!AA24)-'Model inputs'!AA18)</f>
        <v>82.19999999999999</v>
      </c>
      <c r="D5" s="16">
        <f>'Model inputs'!AA26*'Model inputs'!AA15*('Model inputs'!AA25*(1-'Model inputs'!AA24)-'Model inputs'!AA18)</f>
        <v>82.19999999999999</v>
      </c>
      <c r="E5" s="16">
        <f>'Model inputs'!AA26*'Model inputs'!AA15*('Model inputs'!AA25*(1-'Model inputs'!AA24)-'Model inputs'!AA18)</f>
        <v>82.19999999999999</v>
      </c>
      <c r="F5" s="16">
        <f>'Model inputs'!AA26*'Model inputs'!AA15*('Model inputs'!AA25*(1-'Model inputs'!AA24)-'Model inputs'!AA18)</f>
        <v>82.19999999999999</v>
      </c>
      <c r="G5" s="16">
        <f>'Model inputs'!AA26*'Model inputs'!AA15*('Model inputs'!AA25*(1-'Model inputs'!AA24)-'Model inputs'!AA18)</f>
        <v>82.19999999999999</v>
      </c>
      <c r="H5" s="16">
        <f>'Model inputs'!AA26*'Model inputs'!AA15*('Model inputs'!AA25*(1-'Model inputs'!AA24)-'Model inputs'!AA18)</f>
        <v>82.19999999999999</v>
      </c>
      <c r="I5" s="16">
        <f>'Model inputs'!AA26*'Model inputs'!AA15*('Model inputs'!AA25*(1-'Model inputs'!AA24)-'Model inputs'!AA18)</f>
        <v>82.19999999999999</v>
      </c>
      <c r="J5" s="16">
        <f>'Model inputs'!AA26*'Model inputs'!AA15*('Model inputs'!AA25*(1-'Model inputs'!AA24)-'Model inputs'!AA18)</f>
        <v>82.19999999999999</v>
      </c>
      <c r="K5" s="16">
        <f>'Model inputs'!AA26*'Model inputs'!AA15*('Model inputs'!AA25*(1-'Model inputs'!AA24)-'Model inputs'!AA18)</f>
        <v>82.19999999999999</v>
      </c>
      <c r="L5" s="16">
        <f>'Model inputs'!AA26*'Model inputs'!AA15*('Model inputs'!AA25*(1-'Model inputs'!AA24)-'Model inputs'!AA18)</f>
        <v>82.19999999999999</v>
      </c>
      <c r="M5" s="16">
        <f>'Model inputs'!AA26*'Model inputs'!AA15*('Model inputs'!AA25*(1-'Model inputs'!AA24)-'Model inputs'!AA18)</f>
        <v>82.19999999999999</v>
      </c>
      <c r="N5" s="16">
        <f>'Model inputs'!AA26*'Model inputs'!AA15*('Model inputs'!AA25*(1-'Model inputs'!AA24)-'Model inputs'!AA18)</f>
        <v>82.19999999999999</v>
      </c>
      <c r="O5" s="16">
        <f>'Model inputs'!AA26*'Model inputs'!AA15*('Model inputs'!AA25*(1-'Model inputs'!AA24)-'Model inputs'!AA18)</f>
        <v>82.19999999999999</v>
      </c>
      <c r="P5" s="16">
        <f>'Model inputs'!AA26*'Model inputs'!AA15*('Model inputs'!AA25*(1-'Model inputs'!AA24)-'Model inputs'!AA18)</f>
        <v>82.19999999999999</v>
      </c>
      <c r="Q5" s="16">
        <f>'Model inputs'!AA26*'Model inputs'!AA15*('Model inputs'!AA25*(1-'Model inputs'!AA24)-'Model inputs'!AA18)</f>
        <v>82.19999999999999</v>
      </c>
      <c r="R5" s="16">
        <f>'Model inputs'!AA26*'Model inputs'!AA15*('Model inputs'!AA25*(1-'Model inputs'!AA24)-'Model inputs'!AA18)</f>
        <v>82.19999999999999</v>
      </c>
      <c r="S5" s="16">
        <f>'Model inputs'!AA26*'Model inputs'!AA15*('Model inputs'!AA25*(1-'Model inputs'!AA24)-'Model inputs'!AA18)</f>
        <v>82.19999999999999</v>
      </c>
      <c r="T5" s="16">
        <f>'Model inputs'!AA26*'Model inputs'!AA15*('Model inputs'!AA25*(1-'Model inputs'!AA24)-'Model inputs'!AA18)</f>
        <v>82.19999999999999</v>
      </c>
      <c r="U5" s="16">
        <f>'Model inputs'!AA26*'Model inputs'!AA15*('Model inputs'!AA25*(1-'Model inputs'!AA24)-'Model inputs'!AA18)</f>
        <v>82.19999999999999</v>
      </c>
      <c r="V5" s="16">
        <f>'Model inputs'!AA26*'Model inputs'!AA15*('Model inputs'!AA25*(1-'Model inputs'!AA24)-'Model inputs'!AA18)</f>
        <v>82.19999999999999</v>
      </c>
      <c r="W5" s="16">
        <f>'Model inputs'!AA26*'Model inputs'!AA15*('Model inputs'!AA25*(1-'Model inputs'!AA24)-'Model inputs'!AA18)</f>
        <v>82.19999999999999</v>
      </c>
      <c r="X5" s="16">
        <f>'Model inputs'!AA26*'Model inputs'!AA15*('Model inputs'!AA25*(1-'Model inputs'!AA24)-'Model inputs'!AA18)</f>
        <v>82.19999999999999</v>
      </c>
      <c r="Y5" s="16">
        <f>'Model inputs'!AA26*'Model inputs'!AA15*('Model inputs'!AA25*(1-'Model inputs'!AA24)-'Model inputs'!AA18)</f>
        <v>82.19999999999999</v>
      </c>
    </row>
    <row r="6">
      <c r="A6" t="inlineStr" s="10">
        <is>
          <t xml:space="preserve">Active teams for paid-founder break-even</t>
        </is>
      </c>
      <c r="B6" s="17">
        <f>CEILING(('Model inputs'!AA13*'Model inputs'!AA11+'Model inputs'!AA29)/'Stress Unit Economics &amp; Funding'!B5,1)</f>
        <v>100</v>
      </c>
      <c r="C6" s="17">
        <f>CEILING(('Model inputs'!AA13*'Model inputs'!AA11+'Model inputs'!AA29)/'Stress Unit Economics &amp; Funding'!C5,1)</f>
        <v>100</v>
      </c>
      <c r="D6" s="17">
        <f>CEILING(('Model inputs'!AA13*'Model inputs'!AA11+'Model inputs'!AA29)/'Stress Unit Economics &amp; Funding'!D5,1)</f>
        <v>100</v>
      </c>
      <c r="E6" s="17">
        <f>CEILING(('Model inputs'!AA13*'Model inputs'!AA11+'Model inputs'!AA29)/'Stress Unit Economics &amp; Funding'!E5,1)</f>
        <v>100</v>
      </c>
      <c r="F6" s="17">
        <f>CEILING(('Model inputs'!AA13*'Model inputs'!AA11+'Model inputs'!AA29)/'Stress Unit Economics &amp; Funding'!F5,1)</f>
        <v>100</v>
      </c>
      <c r="G6" s="17">
        <f>CEILING(('Model inputs'!AA13*'Model inputs'!AA11+'Model inputs'!AA29)/'Stress Unit Economics &amp; Funding'!G5,1)</f>
        <v>100</v>
      </c>
      <c r="H6" s="17">
        <f>CEILING(('Model inputs'!AA13*'Model inputs'!AA11+'Model inputs'!AA29)/'Stress Unit Economics &amp; Funding'!H5,1)</f>
        <v>100</v>
      </c>
      <c r="I6" s="17">
        <f>CEILING(('Model inputs'!AA13*'Model inputs'!AA11+'Model inputs'!AA29)/'Stress Unit Economics &amp; Funding'!I5,1)</f>
        <v>100</v>
      </c>
      <c r="J6" s="17">
        <f>CEILING(('Model inputs'!AA13*'Model inputs'!AA11+'Model inputs'!AA29)/'Stress Unit Economics &amp; Funding'!J5,1)</f>
        <v>100</v>
      </c>
      <c r="K6" s="17">
        <f>CEILING(('Model inputs'!AA13*'Model inputs'!AA11+'Model inputs'!AA29)/'Stress Unit Economics &amp; Funding'!K5,1)</f>
        <v>100</v>
      </c>
      <c r="L6" s="17">
        <f>CEILING(('Model inputs'!AA13*'Model inputs'!AA11+'Model inputs'!AA29)/'Stress Unit Economics &amp; Funding'!L5,1)</f>
        <v>100</v>
      </c>
      <c r="M6" s="17">
        <f>CEILING(('Model inputs'!AA13*'Model inputs'!AA11+'Model inputs'!AA29)/'Stress Unit Economics &amp; Funding'!M5,1)</f>
        <v>100</v>
      </c>
      <c r="N6" s="17">
        <f>CEILING(('Model inputs'!AA13*'Model inputs'!AA11+'Model inputs'!AA29)/'Stress Unit Economics &amp; Funding'!N5,1)</f>
        <v>100</v>
      </c>
      <c r="O6" s="17">
        <f>CEILING(('Model inputs'!AA13*'Model inputs'!AA11+'Model inputs'!AA29)/'Stress Unit Economics &amp; Funding'!O5,1)</f>
        <v>100</v>
      </c>
      <c r="P6" s="17">
        <f>CEILING(('Model inputs'!AA13*'Model inputs'!AA11+'Model inputs'!AA29)/'Stress Unit Economics &amp; Funding'!P5,1)</f>
        <v>100</v>
      </c>
      <c r="Q6" s="17">
        <f>CEILING(('Model inputs'!AA13*'Model inputs'!AA11+'Model inputs'!AA29)/'Stress Unit Economics &amp; Funding'!Q5,1)</f>
        <v>100</v>
      </c>
      <c r="R6" s="17">
        <f>CEILING(('Model inputs'!AA13*'Model inputs'!AA11+'Model inputs'!AA29)/'Stress Unit Economics &amp; Funding'!R5,1)</f>
        <v>100</v>
      </c>
      <c r="S6" s="17">
        <f>CEILING(('Model inputs'!AA13*'Model inputs'!AA11+'Model inputs'!AA29)/'Stress Unit Economics &amp; Funding'!S5,1)</f>
        <v>100</v>
      </c>
      <c r="T6" s="17">
        <f>CEILING(('Model inputs'!AA13*'Model inputs'!AA11+'Model inputs'!AA29)/'Stress Unit Economics &amp; Funding'!T5,1)</f>
        <v>100</v>
      </c>
      <c r="U6" s="17">
        <f>CEILING(('Model inputs'!AA13*'Model inputs'!AA11+'Model inputs'!AA29)/'Stress Unit Economics &amp; Funding'!U5,1)</f>
        <v>100</v>
      </c>
      <c r="V6" s="17">
        <f>CEILING(('Model inputs'!AA13*'Model inputs'!AA11+'Model inputs'!AA29)/'Stress Unit Economics &amp; Funding'!V5,1)</f>
        <v>100</v>
      </c>
      <c r="W6" s="17">
        <f>CEILING(('Model inputs'!AA13*'Model inputs'!AA11+'Model inputs'!AA29)/'Stress Unit Economics &amp; Funding'!W5,1)</f>
        <v>100</v>
      </c>
      <c r="X6" s="17">
        <f>CEILING(('Model inputs'!AA13*'Model inputs'!AA11+'Model inputs'!AA29)/'Stress Unit Economics &amp; Funding'!X5,1)</f>
        <v>100</v>
      </c>
      <c r="Y6" s="17">
        <f>CEILING(('Model inputs'!AA13*'Model inputs'!AA11+'Model inputs'!AA29)/'Stress Unit Economics &amp; Funding'!Y5,1)</f>
        <v>100</v>
      </c>
    </row>
    <row r="7">
      <c r="A7" t="inlineStr" s="10">
        <is>
          <t xml:space="preserve">Cash excluding raises</t>
        </is>
      </c>
      <c r="B7" s="9">
        <f>'Model inputs'!B8-'Kedge P&amp;L, Burn &amp; Runway'!B15</f>
        <v>211</v>
      </c>
      <c r="C7" s="9">
        <f>'Stress Unit Economics &amp; Funding'!B7-'Kedge P&amp;L, Burn &amp; Runway'!C15</f>
        <v>758.2727272727271</v>
      </c>
      <c r="D7" s="9">
        <f>'Stress Unit Economics &amp; Funding'!C7-'Kedge P&amp;L, Burn &amp; Runway'!D15</f>
        <v>1641.8181818181815</v>
      </c>
      <c r="E7" s="9">
        <f>'Stress Unit Economics &amp; Funding'!D7-'Kedge P&amp;L, Burn &amp; Runway'!E15</f>
        <v>2861.6363636363635</v>
      </c>
      <c r="F7" s="9">
        <f>'Stress Unit Economics &amp; Funding'!E7-'Kedge P&amp;L, Burn &amp; Runway'!F15</f>
        <v>4417.727272727272</v>
      </c>
      <c r="G7" s="9">
        <f>'Stress Unit Economics &amp; Funding'!F7-'Kedge P&amp;L, Burn &amp; Runway'!G15</f>
        <v>6310.090909090908</v>
      </c>
      <c r="H7" s="9">
        <f>'Stress Unit Economics &amp; Funding'!G7-'Kedge P&amp;L, Burn &amp; Runway'!H15</f>
        <v>538.7272727272721</v>
      </c>
      <c r="I7" s="9">
        <f>'Stress Unit Economics &amp; Funding'!H7-'Kedge P&amp;L, Burn &amp; Runway'!I15</f>
        <v>-4896.363636363637</v>
      </c>
      <c r="J7" s="9">
        <f>'Stress Unit Economics &amp; Funding'!I7-'Kedge P&amp;L, Burn &amp; Runway'!J15</f>
        <v>-9995.18181818182</v>
      </c>
      <c r="K7" s="9">
        <f>'Stress Unit Economics &amp; Funding'!J7-'Kedge P&amp;L, Burn &amp; Runway'!K15</f>
        <v>-14757.727272727276</v>
      </c>
      <c r="L7" s="9">
        <f>'Stress Unit Economics &amp; Funding'!K7-'Kedge P&amp;L, Burn &amp; Runway'!L15</f>
        <v>-19184.000000000004</v>
      </c>
      <c r="M7" s="9">
        <f>'Stress Unit Economics &amp; Funding'!L7-'Kedge P&amp;L, Burn &amp; Runway'!M15</f>
        <v>-23274.000000000004</v>
      </c>
      <c r="N7" s="9">
        <f>'Stress Unit Economics &amp; Funding'!M7-'Kedge P&amp;L, Burn &amp; Runway'!N15</f>
        <v>-27364.000000000004</v>
      </c>
      <c r="O7" s="9">
        <f>'Stress Unit Economics &amp; Funding'!N7-'Kedge P&amp;L, Burn &amp; Runway'!O15</f>
        <v>-31454.000000000004</v>
      </c>
      <c r="P7" s="9">
        <f>'Stress Unit Economics &amp; Funding'!O7-'Kedge P&amp;L, Burn &amp; Runway'!P15</f>
        <v>-35544</v>
      </c>
      <c r="Q7" s="9">
        <f>'Stress Unit Economics &amp; Funding'!P7-'Kedge P&amp;L, Burn &amp; Runway'!Q15</f>
        <v>-39634</v>
      </c>
      <c r="R7" s="9">
        <f>'Stress Unit Economics &amp; Funding'!Q7-'Kedge P&amp;L, Burn &amp; Runway'!R15</f>
        <v>-43724</v>
      </c>
      <c r="S7" s="9">
        <f>'Stress Unit Economics &amp; Funding'!R7-'Kedge P&amp;L, Burn &amp; Runway'!S15</f>
        <v>-47814</v>
      </c>
      <c r="T7" s="9">
        <f>'Stress Unit Economics &amp; Funding'!S7-'Kedge P&amp;L, Burn &amp; Runway'!T15</f>
        <v>-51904</v>
      </c>
      <c r="U7" s="9">
        <f>'Stress Unit Economics &amp; Funding'!T7-'Kedge P&amp;L, Burn &amp; Runway'!U15</f>
        <v>-55994</v>
      </c>
      <c r="V7" s="9">
        <f>'Stress Unit Economics &amp; Funding'!U7-'Kedge P&amp;L, Burn &amp; Runway'!V15</f>
        <v>-60084</v>
      </c>
      <c r="W7" s="9">
        <f>'Stress Unit Economics &amp; Funding'!V7-'Kedge P&amp;L, Burn &amp; Runway'!W15</f>
        <v>-64174</v>
      </c>
      <c r="X7" s="9">
        <f>'Stress Unit Economics &amp; Funding'!W7-'Kedge P&amp;L, Burn &amp; Runway'!X15</f>
        <v>-68264</v>
      </c>
      <c r="Y7" s="9">
        <f>'Stress Unit Economics &amp; Funding'!X7-'Kedge P&amp;L, Burn &amp; Runway'!Y15</f>
        <v>-72354</v>
      </c>
    </row>
    <row r="8">
      <c r="A8" t="inlineStr" s="6">
        <is>
          <t xml:space="preserve">Total minimum funding needed</t>
        </is>
      </c>
      <c r="B8" s="7">
        <f>MAX(0,-'Stress Unit Economics &amp; Funding'!B7,'Model inputs'!B30)</f>
        <v>0</v>
      </c>
      <c r="C8" s="7">
        <f>MAX(0,-'Stress Unit Economics &amp; Funding'!C7,'Stress Unit Economics &amp; Funding'!B8)</f>
        <v>0</v>
      </c>
      <c r="D8" s="7">
        <f>MAX(0,-'Stress Unit Economics &amp; Funding'!D7,'Stress Unit Economics &amp; Funding'!C8)</f>
        <v>0</v>
      </c>
      <c r="E8" s="7">
        <f>MAX(0,-'Stress Unit Economics &amp; Funding'!E7,'Stress Unit Economics &amp; Funding'!D8)</f>
        <v>0</v>
      </c>
      <c r="F8" s="7">
        <f>MAX(0,-'Stress Unit Economics &amp; Funding'!F7,'Stress Unit Economics &amp; Funding'!E8)</f>
        <v>0</v>
      </c>
      <c r="G8" s="7">
        <f>MAX(0,-'Stress Unit Economics &amp; Funding'!G7,'Stress Unit Economics &amp; Funding'!F8)</f>
        <v>0</v>
      </c>
      <c r="H8" s="7">
        <f>MAX(0,-'Stress Unit Economics &amp; Funding'!H7,'Stress Unit Economics &amp; Funding'!G8)</f>
        <v>0</v>
      </c>
      <c r="I8" s="7">
        <f>MAX(0,-'Stress Unit Economics &amp; Funding'!I7,'Stress Unit Economics &amp; Funding'!H8)</f>
        <v>4896.363636363637</v>
      </c>
      <c r="J8" s="7">
        <f>MAX(0,-'Stress Unit Economics &amp; Funding'!J7,'Stress Unit Economics &amp; Funding'!I8)</f>
        <v>9995.18181818182</v>
      </c>
      <c r="K8" s="7">
        <f>MAX(0,-'Stress Unit Economics &amp; Funding'!K7,'Stress Unit Economics &amp; Funding'!J8)</f>
        <v>14757.727272727276</v>
      </c>
      <c r="L8" s="7">
        <f>MAX(0,-'Stress Unit Economics &amp; Funding'!L7,'Stress Unit Economics &amp; Funding'!K8)</f>
        <v>19184.000000000004</v>
      </c>
      <c r="M8" s="7">
        <f>MAX(0,-'Stress Unit Economics &amp; Funding'!M7,'Stress Unit Economics &amp; Funding'!L8)</f>
        <v>23274.000000000004</v>
      </c>
      <c r="N8" s="7">
        <f>MAX(0,-'Stress Unit Economics &amp; Funding'!N7,'Stress Unit Economics &amp; Funding'!M8)</f>
        <v>27364.000000000004</v>
      </c>
      <c r="O8" s="7">
        <f>MAX(0,-'Stress Unit Economics &amp; Funding'!O7,'Stress Unit Economics &amp; Funding'!N8)</f>
        <v>31454.000000000004</v>
      </c>
      <c r="P8" s="7">
        <f>MAX(0,-'Stress Unit Economics &amp; Funding'!P7,'Stress Unit Economics &amp; Funding'!O8)</f>
        <v>35544</v>
      </c>
      <c r="Q8" s="7">
        <f>MAX(0,-'Stress Unit Economics &amp; Funding'!Q7,'Stress Unit Economics &amp; Funding'!P8)</f>
        <v>39634</v>
      </c>
      <c r="R8" s="7">
        <f>MAX(0,-'Stress Unit Economics &amp; Funding'!R7,'Stress Unit Economics &amp; Funding'!Q8)</f>
        <v>43724</v>
      </c>
      <c r="S8" s="7">
        <f>MAX(0,-'Stress Unit Economics &amp; Funding'!S7,'Stress Unit Economics &amp; Funding'!R8)</f>
        <v>47814</v>
      </c>
      <c r="T8" s="7">
        <f>MAX(0,-'Stress Unit Economics &amp; Funding'!T7,'Stress Unit Economics &amp; Funding'!S8)</f>
        <v>51904</v>
      </c>
      <c r="U8" s="7">
        <f>MAX(0,-'Stress Unit Economics &amp; Funding'!U7,'Stress Unit Economics &amp; Funding'!T8)</f>
        <v>55994</v>
      </c>
      <c r="V8" s="7">
        <f>MAX(0,-'Stress Unit Economics &amp; Funding'!V7,'Stress Unit Economics &amp; Funding'!U8)</f>
        <v>60084</v>
      </c>
      <c r="W8" s="7">
        <f>MAX(0,-'Stress Unit Economics &amp; Funding'!W7,'Stress Unit Economics &amp; Funding'!V8)</f>
        <v>64174</v>
      </c>
      <c r="X8" s="7">
        <f>MAX(0,-'Stress Unit Economics &amp; Funding'!X7,'Stress Unit Economics &amp; Funding'!W8)</f>
        <v>68264</v>
      </c>
      <c r="Y8" s="7">
        <f>MAX(0,-'Stress Unit Economics &amp; Funding'!Y7,'Stress Unit Economics &amp; Funding'!X8)</f>
        <v>72354</v>
      </c>
    </row>
  </sheetData>
  <mergeCells count="1">
    <mergeCell ref="A1:Y1"/>
  </mergeCells>
</worksheet>
</file>

<file path=xl/worksheets/sheet3.xml><?xml version="1.0" encoding="utf-8"?>
<worksheet xmlns="http://schemas.openxmlformats.org/spreadsheetml/2006/main">
  <dimension ref="A1:AI38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8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4">
        <is>
          <t xml:space="preserve">2027-10</t>
        </is>
      </c>
      <c r="P5" t="inlineStr" s="5">
        <is>
          <t xml:space="preserve">2027-11</t>
        </is>
      </c>
      <c r="Q5" t="inlineStr" s="5">
        <is>
          <t xml:space="preserve">2027-12</t>
        </is>
      </c>
      <c r="R5" t="inlineStr" s="4">
        <is>
          <t xml:space="preserve">2028-01</t>
        </is>
      </c>
      <c r="S5" t="inlineStr" s="5">
        <is>
          <t xml:space="preserve">2028-02</t>
        </is>
      </c>
      <c r="T5" t="inlineStr" s="5">
        <is>
          <t xml:space="preserve">2028-03</t>
        </is>
      </c>
      <c r="U5" t="inlineStr" s="4">
        <is>
          <t xml:space="preserve">2028-04</t>
        </is>
      </c>
      <c r="V5" t="inlineStr" s="5">
        <is>
          <t xml:space="preserve">2028-05</t>
        </is>
      </c>
      <c r="W5" t="inlineStr" s="5">
        <is>
          <t xml:space="preserve">2028-06</t>
        </is>
      </c>
      <c r="X5" t="inlineStr" s="4">
        <is>
          <t xml:space="preserve">2028-07</t>
        </is>
      </c>
      <c r="Y5" t="inlineStr" s="5">
        <is>
          <t xml:space="preserve">2028-08</t>
        </is>
      </c>
      <c r="Z5" t="inlineStr" s="5">
        <is>
          <t xml:space="preserve">2028-09</t>
        </is>
      </c>
      <c r="AA5" t="inlineStr" s="5">
        <is>
          <t xml:space="preserve">Value</t>
        </is>
      </c>
      <c r="AB5" t="inlineStr" s="4">
        <is>
          <t xml:space="preserve">2026-01</t>
        </is>
      </c>
      <c r="AC5" t="inlineStr" s="5">
        <is>
          <t xml:space="preserve">2026-02</t>
        </is>
      </c>
      <c r="AD5" t="inlineStr" s="5">
        <is>
          <t xml:space="preserve">2026-03</t>
        </is>
      </c>
      <c r="AE5" t="inlineStr" s="4">
        <is>
          <t xml:space="preserve">2026-04</t>
        </is>
      </c>
      <c r="AF5" t="inlineStr" s="5">
        <is>
          <t xml:space="preserve">2026-05</t>
        </is>
      </c>
      <c r="AG5" t="inlineStr" s="5">
        <is>
          <t xml:space="preserve">2026-06</t>
        </is>
      </c>
      <c r="AH5" t="inlineStr" s="4">
        <is>
          <t xml:space="preserve">2026-07</t>
        </is>
      </c>
      <c r="AI5" t="inlineStr" s="5">
        <is>
          <t xml:space="preserve">2026-08</t>
        </is>
      </c>
    </row>
    <row r="6">
      <c r="A6" t="inlineStr" s="19">
        <is>
          <t xml:space="preserve">AI model costs</t>
        </is>
      </c>
      <c r="B6" s="20">
        <v>0</v>
      </c>
      <c r="C6" s="20">
        <f>'Model inputs'!C16*'Model inputs'!AA18</f>
        <v>171</v>
      </c>
      <c r="D6" s="20">
        <f>'Model inputs'!D16*'Model inputs'!AA18</f>
        <v>310.9090909090909</v>
      </c>
      <c r="E6" s="20">
        <f>'Model inputs'!E16*'Model inputs'!AA18</f>
        <v>450.81818181818176</v>
      </c>
      <c r="F6" s="20">
        <f>'Model inputs'!F16*'Model inputs'!AA18</f>
        <v>590.7272727272727</v>
      </c>
      <c r="G6" s="20">
        <f>'Model inputs'!G16*'Model inputs'!AA18</f>
        <v>730.6363636363635</v>
      </c>
      <c r="H6" s="20">
        <f>'Model inputs'!H16*'Model inputs'!AA18</f>
        <v>870.5454545454545</v>
      </c>
      <c r="I6" s="20">
        <f>'Model inputs'!I16*'Model inputs'!AA18</f>
        <v>1010.4545454545455</v>
      </c>
      <c r="J6" s="20">
        <f>'Model inputs'!J16*'Model inputs'!AA18</f>
        <v>1150.3636363636363</v>
      </c>
      <c r="K6" s="20">
        <f>'Model inputs'!K16*'Model inputs'!AA18</f>
        <v>1290.2727272727273</v>
      </c>
      <c r="L6" s="20">
        <f>'Model inputs'!L16*'Model inputs'!AA18</f>
        <v>1430.1818181818182</v>
      </c>
      <c r="M6" s="20">
        <f>'Model inputs'!M16*'Model inputs'!AA18</f>
        <v>1570.090909090909</v>
      </c>
      <c r="N6" s="20">
        <f>'Model inputs'!N16*'Model inputs'!AA18</f>
        <v>1710</v>
      </c>
      <c r="O6" s="20">
        <f>'Model inputs'!O16*'Model inputs'!AA18</f>
        <v>1710</v>
      </c>
      <c r="P6" s="20">
        <f>'Model inputs'!P16*'Model inputs'!AA18</f>
        <v>1710</v>
      </c>
      <c r="Q6" s="20">
        <f>'Model inputs'!Q16*'Model inputs'!AA18</f>
        <v>1710</v>
      </c>
      <c r="R6" s="20">
        <f>'Model inputs'!R16*'Model inputs'!AA18</f>
        <v>1710</v>
      </c>
      <c r="S6" s="20">
        <f>'Model inputs'!S16*'Model inputs'!AA18</f>
        <v>1710</v>
      </c>
      <c r="T6" s="20">
        <f>'Model inputs'!T16*'Model inputs'!AA18</f>
        <v>1710</v>
      </c>
      <c r="U6" s="20">
        <f>'Model inputs'!U16*'Model inputs'!AA18</f>
        <v>1710</v>
      </c>
      <c r="V6" s="20">
        <f>'Model inputs'!V16*'Model inputs'!AA18</f>
        <v>1710</v>
      </c>
      <c r="W6" s="20">
        <f>'Model inputs'!W16*'Model inputs'!AA18</f>
        <v>1710</v>
      </c>
      <c r="X6" s="20">
        <f>'Model inputs'!X16*'Model inputs'!AA18</f>
        <v>1710</v>
      </c>
      <c r="Y6" s="20">
        <f>'Model inputs'!Y16*'Model inputs'!AA18</f>
        <v>1710</v>
      </c>
      <c r="Z6" s="20">
        <f>'Model inputs'!Z16*'Model inputs'!AA18</f>
        <v>1710</v>
      </c>
    </row>
    <row r="7">
      <c r="A7" t="inlineStr" s="19">
        <is>
          <t xml:space="preserve">Cash balance</t>
        </is>
      </c>
      <c r="B7" s="20">
        <f>IF('Model inputs'!AA34="","",'Model inputs'!AA34)</f>
        <v>0</v>
      </c>
      <c r="C7" s="20">
        <f>'Model inputs'!B7-'Model inputs'!C20+'Model inputs'!C10</f>
        <v>211</v>
      </c>
      <c r="D7" s="20">
        <f>'Model inputs'!C7-'Model inputs'!D20+'Model inputs'!D10</f>
        <v>758.2727272727271</v>
      </c>
      <c r="E7" s="20">
        <f>'Model inputs'!D7-'Model inputs'!E20+'Model inputs'!E10</f>
        <v>1641.8181818181815</v>
      </c>
      <c r="F7" s="20">
        <f>'Model inputs'!E7-'Model inputs'!F20+'Model inputs'!F10</f>
        <v>2861.6363636363635</v>
      </c>
      <c r="G7" s="20">
        <f>'Model inputs'!F7-'Model inputs'!G20+'Model inputs'!G10</f>
        <v>4417.727272727272</v>
      </c>
      <c r="H7" s="20">
        <f>'Model inputs'!G7-'Model inputs'!H20+'Model inputs'!H10</f>
        <v>6310.090909090908</v>
      </c>
      <c r="I7" s="20">
        <f>'Model inputs'!H7-'Model inputs'!I20+'Model inputs'!I10</f>
        <v>60538.72727272727</v>
      </c>
      <c r="J7" s="20">
        <f>'Model inputs'!I7-'Model inputs'!J20+'Model inputs'!J10</f>
        <v>55103.63636363636</v>
      </c>
      <c r="K7" s="20">
        <f>'Model inputs'!J7-'Model inputs'!K20+'Model inputs'!K10</f>
        <v>50004.81818181818</v>
      </c>
      <c r="L7" s="20">
        <f>'Model inputs'!K7-'Model inputs'!L20+'Model inputs'!L10</f>
        <v>45242.27272727272</v>
      </c>
      <c r="M7" s="20">
        <f>'Model inputs'!L7-'Model inputs'!M20+'Model inputs'!M10</f>
        <v>40815.99999999999</v>
      </c>
      <c r="N7" s="20">
        <f>'Model inputs'!M7-'Model inputs'!N20+'Model inputs'!N10</f>
        <v>36725.99999999999</v>
      </c>
      <c r="O7" s="20">
        <f>'Model inputs'!N7-'Model inputs'!O20+'Model inputs'!O10</f>
        <v>32635.999999999993</v>
      </c>
      <c r="P7" s="20">
        <f>'Model inputs'!O7-'Model inputs'!P20+'Model inputs'!P10</f>
        <v>28545.999999999993</v>
      </c>
      <c r="Q7" s="20">
        <f>'Model inputs'!P7-'Model inputs'!Q20+'Model inputs'!Q10</f>
        <v>24455.999999999993</v>
      </c>
      <c r="R7" s="20">
        <f>'Model inputs'!Q7-'Model inputs'!R20+'Model inputs'!R10</f>
        <v>20365.999999999993</v>
      </c>
      <c r="S7" s="20">
        <f>'Model inputs'!R7-'Model inputs'!S20+'Model inputs'!S10</f>
        <v>16275.999999999993</v>
      </c>
      <c r="T7" s="20">
        <f>'Model inputs'!S7-'Model inputs'!T20+'Model inputs'!T10</f>
        <v>12185.999999999993</v>
      </c>
      <c r="U7" s="20">
        <f>'Model inputs'!T7-'Model inputs'!U20+'Model inputs'!U10</f>
        <v>8095.999999999993</v>
      </c>
      <c r="V7" s="20">
        <f>'Model inputs'!U7-'Model inputs'!V20+'Model inputs'!V10</f>
        <v>4005.9999999999927</v>
      </c>
      <c r="W7" s="20">
        <f>'Model inputs'!V7-'Model inputs'!W20+'Model inputs'!W10</f>
        <v>-84.00000000000728</v>
      </c>
      <c r="X7" s="20">
        <f>'Model inputs'!W7-'Model inputs'!X20+'Model inputs'!X10</f>
        <v>-4174.000000000007</v>
      </c>
      <c r="Y7" s="20">
        <f>'Model inputs'!X7-'Model inputs'!Y20+'Model inputs'!Y10</f>
        <v>-8264.000000000007</v>
      </c>
      <c r="Z7" s="20">
        <f>'Model inputs'!Y7-'Model inputs'!Z20+'Model inputs'!Z10</f>
        <v>-12354.000000000007</v>
      </c>
    </row>
    <row r="8">
      <c r="A8" t="inlineStr" s="19">
        <is>
          <t xml:space="preserve">Cash excluding raises</t>
        </is>
      </c>
      <c r="B8" s="20">
        <f>IF('Model inputs'!AA34="","",'Model inputs'!AA34)</f>
        <v>0</v>
      </c>
      <c r="C8" s="20">
        <f>'Model inputs'!B8-'Model inputs'!C20</f>
        <v>211</v>
      </c>
      <c r="D8" s="20">
        <f>'Model inputs'!C8-'Model inputs'!D20</f>
        <v>758.2727272727271</v>
      </c>
      <c r="E8" s="20">
        <f>'Model inputs'!D8-'Model inputs'!E20</f>
        <v>1641.8181818181815</v>
      </c>
      <c r="F8" s="20">
        <f>'Model inputs'!E8-'Model inputs'!F20</f>
        <v>2861.6363636363635</v>
      </c>
      <c r="G8" s="20">
        <f>'Model inputs'!F8-'Model inputs'!G20</f>
        <v>4417.727272727272</v>
      </c>
      <c r="H8" s="20">
        <f>'Model inputs'!G8-'Model inputs'!H20</f>
        <v>6310.090909090908</v>
      </c>
      <c r="I8" s="20">
        <f>'Model inputs'!H8-'Model inputs'!I20</f>
        <v>538.7272727272721</v>
      </c>
      <c r="J8" s="20">
        <f>'Model inputs'!I8-'Model inputs'!J20</f>
        <v>-4896.363636363637</v>
      </c>
      <c r="K8" s="20">
        <f>'Model inputs'!J8-'Model inputs'!K20</f>
        <v>-9995.18181818182</v>
      </c>
      <c r="L8" s="20">
        <f>'Model inputs'!K8-'Model inputs'!L20</f>
        <v>-14757.727272727276</v>
      </c>
      <c r="M8" s="20">
        <f>'Model inputs'!L8-'Model inputs'!M20</f>
        <v>-19184.000000000004</v>
      </c>
      <c r="N8" s="20">
        <f>'Model inputs'!M8-'Model inputs'!N20</f>
        <v>-23274.000000000004</v>
      </c>
      <c r="O8" s="20">
        <f>'Model inputs'!N8-'Model inputs'!O20</f>
        <v>-27364.000000000004</v>
      </c>
      <c r="P8" s="20">
        <f>'Model inputs'!O8-'Model inputs'!P20</f>
        <v>-31454.000000000004</v>
      </c>
      <c r="Q8" s="20">
        <f>'Model inputs'!P8-'Model inputs'!Q20</f>
        <v>-35544</v>
      </c>
      <c r="R8" s="20">
        <f>'Model inputs'!Q8-'Model inputs'!R20</f>
        <v>-39634</v>
      </c>
      <c r="S8" s="20">
        <f>'Model inputs'!R8-'Model inputs'!S20</f>
        <v>-43724</v>
      </c>
      <c r="T8" s="20">
        <f>'Model inputs'!S8-'Model inputs'!T20</f>
        <v>-47814</v>
      </c>
      <c r="U8" s="20">
        <f>'Model inputs'!T8-'Model inputs'!U20</f>
        <v>-51904</v>
      </c>
      <c r="V8" s="20">
        <f>'Model inputs'!U8-'Model inputs'!V20</f>
        <v>-55994</v>
      </c>
      <c r="W8" s="20">
        <f>'Model inputs'!V8-'Model inputs'!W20</f>
        <v>-60084</v>
      </c>
      <c r="X8" s="20">
        <f>'Model inputs'!W8-'Model inputs'!X20</f>
        <v>-64174</v>
      </c>
      <c r="Y8" s="20">
        <f>'Model inputs'!X8-'Model inputs'!Y20</f>
        <v>-68264</v>
      </c>
      <c r="Z8" s="20">
        <f>'Model inputs'!Y8-'Model inputs'!Z20</f>
        <v>-72354</v>
      </c>
    </row>
    <row r="9">
      <c r="A9" t="inlineStr" s="19">
        <is>
          <t xml:space="preserve">Cost of goods sold</t>
        </is>
      </c>
      <c r="B9" s="20">
        <v>0</v>
      </c>
      <c r="C9" s="20">
        <f>'Model inputs'!C6+'Model inputs'!C23</f>
        <v>189</v>
      </c>
      <c r="D9" s="20">
        <f>'Model inputs'!D6+'Model inputs'!D23</f>
        <v>343.6363636363636</v>
      </c>
      <c r="E9" s="20">
        <f>'Model inputs'!E6+'Model inputs'!E23</f>
        <v>498.2727272727272</v>
      </c>
      <c r="F9" s="20">
        <f>'Model inputs'!F6+'Model inputs'!F23</f>
        <v>652.909090909091</v>
      </c>
      <c r="G9" s="20">
        <f>'Model inputs'!G6+'Model inputs'!G23</f>
        <v>807.5454545454544</v>
      </c>
      <c r="H9" s="20">
        <f>'Model inputs'!H6+'Model inputs'!H23</f>
        <v>962.1818181818181</v>
      </c>
      <c r="I9" s="20">
        <f>'Model inputs'!I6+'Model inputs'!I23</f>
        <v>1116.8181818181818</v>
      </c>
      <c r="J9" s="20">
        <f>'Model inputs'!J6+'Model inputs'!J23</f>
        <v>1271.4545454545453</v>
      </c>
      <c r="K9" s="20">
        <f>'Model inputs'!K6+'Model inputs'!K23</f>
        <v>1426.090909090909</v>
      </c>
      <c r="L9" s="20">
        <f>'Model inputs'!L6+'Model inputs'!L23</f>
        <v>1580.7272727272727</v>
      </c>
      <c r="M9" s="20">
        <f>'Model inputs'!M6+'Model inputs'!M23</f>
        <v>1735.3636363636363</v>
      </c>
      <c r="N9" s="20">
        <f>'Model inputs'!N6+'Model inputs'!N23</f>
        <v>1890</v>
      </c>
      <c r="O9" s="20">
        <f>'Model inputs'!O6+'Model inputs'!O23</f>
        <v>1890</v>
      </c>
      <c r="P9" s="20">
        <f>'Model inputs'!P6+'Model inputs'!P23</f>
        <v>1890</v>
      </c>
      <c r="Q9" s="20">
        <f>'Model inputs'!Q6+'Model inputs'!Q23</f>
        <v>1890</v>
      </c>
      <c r="R9" s="20">
        <f>'Model inputs'!R6+'Model inputs'!R23</f>
        <v>1890</v>
      </c>
      <c r="S9" s="20">
        <f>'Model inputs'!S6+'Model inputs'!S23</f>
        <v>1890</v>
      </c>
      <c r="T9" s="20">
        <f>'Model inputs'!T6+'Model inputs'!T23</f>
        <v>1890</v>
      </c>
      <c r="U9" s="20">
        <f>'Model inputs'!U6+'Model inputs'!U23</f>
        <v>1890</v>
      </c>
      <c r="V9" s="20">
        <f>'Model inputs'!V6+'Model inputs'!V23</f>
        <v>1890</v>
      </c>
      <c r="W9" s="20">
        <f>'Model inputs'!W6+'Model inputs'!W23</f>
        <v>1890</v>
      </c>
      <c r="X9" s="20">
        <f>'Model inputs'!X6+'Model inputs'!X23</f>
        <v>1890</v>
      </c>
      <c r="Y9" s="20">
        <f>'Model inputs'!Y6+'Model inputs'!Y23</f>
        <v>1890</v>
      </c>
      <c r="Z9" s="20">
        <f>'Model inputs'!Z6+'Model inputs'!Z23</f>
        <v>1890</v>
      </c>
    </row>
    <row r="10">
      <c r="A10" t="inlineStr" s="19">
        <is>
          <t xml:space="preserve">Equity raised</t>
        </is>
      </c>
      <c r="B10" s="20">
        <v>0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f>60000</f>
        <v>60000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</row>
    <row r="11">
      <c r="A11" t="inlineStr" s="19">
        <is>
          <t xml:space="preserve">Founder monthly salary</t>
        </is>
      </c>
      <c r="AA11" s="20">
        <f>4000</f>
        <v>4000</v>
      </c>
    </row>
    <row r="12">
      <c r="A12" t="inlineStr" s="19">
        <is>
          <t xml:space="preserve">Founder salaries</t>
        </is>
      </c>
      <c r="B12" s="20">
        <v>0</v>
      </c>
      <c r="C12" s="20">
        <f>IF(IF(IF(ISERROR('Model inputs'!C19&gt;'Model inputs'!AA31),'Model inputs'!C19&gt;'Model inputs'!AA31,IF(OR('Model inputs'!C19="",'Model inputs'!AA31=""),"",'Model inputs'!C19&gt;'Model inputs'!AA31))="",FALSE,IF(ISERROR('Model inputs'!C19&gt;'Model inputs'!AA31),'Model inputs'!C19&gt;'Model inputs'!AA31,IF(OR('Model inputs'!C19="",'Model inputs'!AA31=""),"",'Model inputs'!C19&gt;'Model inputs'!AA31))),'Model inputs'!AA13*'Model inputs'!AA11,0)</f>
        <v>0</v>
      </c>
      <c r="D12" s="20">
        <f>IF(IF(IF(ISERROR('Model inputs'!D19&gt;'Model inputs'!AA31),'Model inputs'!D19&gt;'Model inputs'!AA31,IF(OR('Model inputs'!D19="",'Model inputs'!AA31=""),"",'Model inputs'!D19&gt;'Model inputs'!AA31))="",FALSE,IF(ISERROR('Model inputs'!D19&gt;'Model inputs'!AA31),'Model inputs'!D19&gt;'Model inputs'!AA31,IF(OR('Model inputs'!D19="",'Model inputs'!AA31=""),"",'Model inputs'!D19&gt;'Model inputs'!AA31))),'Model inputs'!AA13*'Model inputs'!AA11,0)</f>
        <v>0</v>
      </c>
      <c r="E12" s="20">
        <f>IF(IF(IF(ISERROR('Model inputs'!E19&gt;'Model inputs'!AA31),'Model inputs'!E19&gt;'Model inputs'!AA31,IF(OR('Model inputs'!E19="",'Model inputs'!AA31=""),"",'Model inputs'!E19&gt;'Model inputs'!AA31))="",FALSE,IF(ISERROR('Model inputs'!E19&gt;'Model inputs'!AA31),'Model inputs'!E19&gt;'Model inputs'!AA31,IF(OR('Model inputs'!E19="",'Model inputs'!AA31=""),"",'Model inputs'!E19&gt;'Model inputs'!AA31))),'Model inputs'!AA13*'Model inputs'!AA11,0)</f>
        <v>0</v>
      </c>
      <c r="F12" s="20">
        <f>IF(IF(IF(ISERROR('Model inputs'!F19&gt;'Model inputs'!AA31),'Model inputs'!F19&gt;'Model inputs'!AA31,IF(OR('Model inputs'!F19="",'Model inputs'!AA31=""),"",'Model inputs'!F19&gt;'Model inputs'!AA31))="",FALSE,IF(ISERROR('Model inputs'!F19&gt;'Model inputs'!AA31),'Model inputs'!F19&gt;'Model inputs'!AA31,IF(OR('Model inputs'!F19="",'Model inputs'!AA31=""),"",'Model inputs'!F19&gt;'Model inputs'!AA31))),'Model inputs'!AA13*'Model inputs'!AA11,0)</f>
        <v>0</v>
      </c>
      <c r="G12" s="20">
        <f>IF(IF(IF(ISERROR('Model inputs'!G19&gt;'Model inputs'!AA31),'Model inputs'!G19&gt;'Model inputs'!AA31,IF(OR('Model inputs'!G19="",'Model inputs'!AA31=""),"",'Model inputs'!G19&gt;'Model inputs'!AA31))="",FALSE,IF(ISERROR('Model inputs'!G19&gt;'Model inputs'!AA31),'Model inputs'!G19&gt;'Model inputs'!AA31,IF(OR('Model inputs'!G19="",'Model inputs'!AA31=""),"",'Model inputs'!G19&gt;'Model inputs'!AA31))),'Model inputs'!AA13*'Model inputs'!AA11,0)</f>
        <v>0</v>
      </c>
      <c r="H12" s="20">
        <f>IF(IF(IF(ISERROR('Model inputs'!H19&gt;'Model inputs'!AA31),'Model inputs'!H19&gt;'Model inputs'!AA31,IF(OR('Model inputs'!H19="",'Model inputs'!AA31=""),"",'Model inputs'!H19&gt;'Model inputs'!AA31))="",FALSE,IF(ISERROR('Model inputs'!H19&gt;'Model inputs'!AA31),'Model inputs'!H19&gt;'Model inputs'!AA31,IF(OR('Model inputs'!H19="",'Model inputs'!AA31=""),"",'Model inputs'!H19&gt;'Model inputs'!AA31))),'Model inputs'!AA13*'Model inputs'!AA11,0)</f>
        <v>0</v>
      </c>
      <c r="I12" s="20">
        <f>IF(IF(IF(ISERROR('Model inputs'!I19&gt;'Model inputs'!AA31),'Model inputs'!I19&gt;'Model inputs'!AA31,IF(OR('Model inputs'!I19="",'Model inputs'!AA31=""),"",'Model inputs'!I19&gt;'Model inputs'!AA31))="",FALSE,IF(ISERROR('Model inputs'!I19&gt;'Model inputs'!AA31),'Model inputs'!I19&gt;'Model inputs'!AA31,IF(OR('Model inputs'!I19="",'Model inputs'!AA31=""),"",'Model inputs'!I19&gt;'Model inputs'!AA31))),'Model inputs'!AA13*'Model inputs'!AA11,0)</f>
        <v>8000</v>
      </c>
      <c r="J12" s="20">
        <f>IF(IF(IF(ISERROR('Model inputs'!J19&gt;'Model inputs'!AA31),'Model inputs'!J19&gt;'Model inputs'!AA31,IF(OR('Model inputs'!J19="",'Model inputs'!AA31=""),"",'Model inputs'!J19&gt;'Model inputs'!AA31))="",FALSE,IF(ISERROR('Model inputs'!J19&gt;'Model inputs'!AA31),'Model inputs'!J19&gt;'Model inputs'!AA31,IF(OR('Model inputs'!J19="",'Model inputs'!AA31=""),"",'Model inputs'!J19&gt;'Model inputs'!AA31))),'Model inputs'!AA13*'Model inputs'!AA11,0)</f>
        <v>8000</v>
      </c>
      <c r="K12" s="20">
        <f>IF(IF(IF(ISERROR('Model inputs'!K19&gt;'Model inputs'!AA31),'Model inputs'!K19&gt;'Model inputs'!AA31,IF(OR('Model inputs'!K19="",'Model inputs'!AA31=""),"",'Model inputs'!K19&gt;'Model inputs'!AA31))="",FALSE,IF(ISERROR('Model inputs'!K19&gt;'Model inputs'!AA31),'Model inputs'!K19&gt;'Model inputs'!AA31,IF(OR('Model inputs'!K19="",'Model inputs'!AA31=""),"",'Model inputs'!K19&gt;'Model inputs'!AA31))),'Model inputs'!AA13*'Model inputs'!AA11,0)</f>
        <v>8000</v>
      </c>
      <c r="L12" s="20">
        <f>IF(IF(IF(ISERROR('Model inputs'!L19&gt;'Model inputs'!AA31),'Model inputs'!L19&gt;'Model inputs'!AA31,IF(OR('Model inputs'!L19="",'Model inputs'!AA31=""),"",'Model inputs'!L19&gt;'Model inputs'!AA31))="",FALSE,IF(ISERROR('Model inputs'!L19&gt;'Model inputs'!AA31),'Model inputs'!L19&gt;'Model inputs'!AA31,IF(OR('Model inputs'!L19="",'Model inputs'!AA31=""),"",'Model inputs'!L19&gt;'Model inputs'!AA31))),'Model inputs'!AA13*'Model inputs'!AA11,0)</f>
        <v>8000</v>
      </c>
      <c r="M12" s="20">
        <f>IF(IF(IF(ISERROR('Model inputs'!M19&gt;'Model inputs'!AA31),'Model inputs'!M19&gt;'Model inputs'!AA31,IF(OR('Model inputs'!M19="",'Model inputs'!AA31=""),"",'Model inputs'!M19&gt;'Model inputs'!AA31))="",FALSE,IF(ISERROR('Model inputs'!M19&gt;'Model inputs'!AA31),'Model inputs'!M19&gt;'Model inputs'!AA31,IF(OR('Model inputs'!M19="",'Model inputs'!AA31=""),"",'Model inputs'!M19&gt;'Model inputs'!AA31))),'Model inputs'!AA13*'Model inputs'!AA11,0)</f>
        <v>8000</v>
      </c>
      <c r="N12" s="20">
        <f>IF(IF(IF(ISERROR('Model inputs'!N19&gt;'Model inputs'!AA31),'Model inputs'!N19&gt;'Model inputs'!AA31,IF(OR('Model inputs'!N19="",'Model inputs'!AA31=""),"",'Model inputs'!N19&gt;'Model inputs'!AA31))="",FALSE,IF(ISERROR('Model inputs'!N19&gt;'Model inputs'!AA31),'Model inputs'!N19&gt;'Model inputs'!AA31,IF(OR('Model inputs'!N19="",'Model inputs'!AA31=""),"",'Model inputs'!N19&gt;'Model inputs'!AA31))),'Model inputs'!AA13*'Model inputs'!AA11,0)</f>
        <v>8000</v>
      </c>
      <c r="O12" s="20">
        <f>IF(IF(IF(ISERROR('Model inputs'!O19&gt;'Model inputs'!AA31),'Model inputs'!O19&gt;'Model inputs'!AA31,IF(OR('Model inputs'!O19="",'Model inputs'!AA31=""),"",'Model inputs'!O19&gt;'Model inputs'!AA31))="",FALSE,IF(ISERROR('Model inputs'!O19&gt;'Model inputs'!AA31),'Model inputs'!O19&gt;'Model inputs'!AA31,IF(OR('Model inputs'!O19="",'Model inputs'!AA31=""),"",'Model inputs'!O19&gt;'Model inputs'!AA31))),'Model inputs'!AA13*'Model inputs'!AA11,0)</f>
        <v>8000</v>
      </c>
      <c r="P12" s="20">
        <f>IF(IF(IF(ISERROR('Model inputs'!P19&gt;'Model inputs'!AA31),'Model inputs'!P19&gt;'Model inputs'!AA31,IF(OR('Model inputs'!P19="",'Model inputs'!AA31=""),"",'Model inputs'!P19&gt;'Model inputs'!AA31))="",FALSE,IF(ISERROR('Model inputs'!P19&gt;'Model inputs'!AA31),'Model inputs'!P19&gt;'Model inputs'!AA31,IF(OR('Model inputs'!P19="",'Model inputs'!AA31=""),"",'Model inputs'!P19&gt;'Model inputs'!AA31))),'Model inputs'!AA13*'Model inputs'!AA11,0)</f>
        <v>8000</v>
      </c>
      <c r="Q12" s="20">
        <f>IF(IF(IF(ISERROR('Model inputs'!Q19&gt;'Model inputs'!AA31),'Model inputs'!Q19&gt;'Model inputs'!AA31,IF(OR('Model inputs'!Q19="",'Model inputs'!AA31=""),"",'Model inputs'!Q19&gt;'Model inputs'!AA31))="",FALSE,IF(ISERROR('Model inputs'!Q19&gt;'Model inputs'!AA31),'Model inputs'!Q19&gt;'Model inputs'!AA31,IF(OR('Model inputs'!Q19="",'Model inputs'!AA31=""),"",'Model inputs'!Q19&gt;'Model inputs'!AA31))),'Model inputs'!AA13*'Model inputs'!AA11,0)</f>
        <v>8000</v>
      </c>
      <c r="R12" s="20">
        <f>IF(IF(IF(ISERROR('Model inputs'!R19&gt;'Model inputs'!AA31),'Model inputs'!R19&gt;'Model inputs'!AA31,IF(OR('Model inputs'!R19="",'Model inputs'!AA31=""),"",'Model inputs'!R19&gt;'Model inputs'!AA31))="",FALSE,IF(ISERROR('Model inputs'!R19&gt;'Model inputs'!AA31),'Model inputs'!R19&gt;'Model inputs'!AA31,IF(OR('Model inputs'!R19="",'Model inputs'!AA31=""),"",'Model inputs'!R19&gt;'Model inputs'!AA31))),'Model inputs'!AA13*'Model inputs'!AA11,0)</f>
        <v>8000</v>
      </c>
      <c r="S12" s="20">
        <f>IF(IF(IF(ISERROR('Model inputs'!S19&gt;'Model inputs'!AA31),'Model inputs'!S19&gt;'Model inputs'!AA31,IF(OR('Model inputs'!S19="",'Model inputs'!AA31=""),"",'Model inputs'!S19&gt;'Model inputs'!AA31))="",FALSE,IF(ISERROR('Model inputs'!S19&gt;'Model inputs'!AA31),'Model inputs'!S19&gt;'Model inputs'!AA31,IF(OR('Model inputs'!S19="",'Model inputs'!AA31=""),"",'Model inputs'!S19&gt;'Model inputs'!AA31))),'Model inputs'!AA13*'Model inputs'!AA11,0)</f>
        <v>8000</v>
      </c>
      <c r="T12" s="20">
        <f>IF(IF(IF(ISERROR('Model inputs'!T19&gt;'Model inputs'!AA31),'Model inputs'!T19&gt;'Model inputs'!AA31,IF(OR('Model inputs'!T19="",'Model inputs'!AA31=""),"",'Model inputs'!T19&gt;'Model inputs'!AA31))="",FALSE,IF(ISERROR('Model inputs'!T19&gt;'Model inputs'!AA31),'Model inputs'!T19&gt;'Model inputs'!AA31,IF(OR('Model inputs'!T19="",'Model inputs'!AA31=""),"",'Model inputs'!T19&gt;'Model inputs'!AA31))),'Model inputs'!AA13*'Model inputs'!AA11,0)</f>
        <v>8000</v>
      </c>
      <c r="U12" s="20">
        <f>IF(IF(IF(ISERROR('Model inputs'!U19&gt;'Model inputs'!AA31),'Model inputs'!U19&gt;'Model inputs'!AA31,IF(OR('Model inputs'!U19="",'Model inputs'!AA31=""),"",'Model inputs'!U19&gt;'Model inputs'!AA31))="",FALSE,IF(ISERROR('Model inputs'!U19&gt;'Model inputs'!AA31),'Model inputs'!U19&gt;'Model inputs'!AA31,IF(OR('Model inputs'!U19="",'Model inputs'!AA31=""),"",'Model inputs'!U19&gt;'Model inputs'!AA31))),'Model inputs'!AA13*'Model inputs'!AA11,0)</f>
        <v>8000</v>
      </c>
      <c r="V12" s="20">
        <f>IF(IF(IF(ISERROR('Model inputs'!V19&gt;'Model inputs'!AA31),'Model inputs'!V19&gt;'Model inputs'!AA31,IF(OR('Model inputs'!V19="",'Model inputs'!AA31=""),"",'Model inputs'!V19&gt;'Model inputs'!AA31))="",FALSE,IF(ISERROR('Model inputs'!V19&gt;'Model inputs'!AA31),'Model inputs'!V19&gt;'Model inputs'!AA31,IF(OR('Model inputs'!V19="",'Model inputs'!AA31=""),"",'Model inputs'!V19&gt;'Model inputs'!AA31))),'Model inputs'!AA13*'Model inputs'!AA11,0)</f>
        <v>8000</v>
      </c>
      <c r="W12" s="20">
        <f>IF(IF(IF(ISERROR('Model inputs'!W19&gt;'Model inputs'!AA31),'Model inputs'!W19&gt;'Model inputs'!AA31,IF(OR('Model inputs'!W19="",'Model inputs'!AA31=""),"",'Model inputs'!W19&gt;'Model inputs'!AA31))="",FALSE,IF(ISERROR('Model inputs'!W19&gt;'Model inputs'!AA31),'Model inputs'!W19&gt;'Model inputs'!AA31,IF(OR('Model inputs'!W19="",'Model inputs'!AA31=""),"",'Model inputs'!W19&gt;'Model inputs'!AA31))),'Model inputs'!AA13*'Model inputs'!AA11,0)</f>
        <v>8000</v>
      </c>
      <c r="X12" s="20">
        <f>IF(IF(IF(ISERROR('Model inputs'!X19&gt;'Model inputs'!AA31),'Model inputs'!X19&gt;'Model inputs'!AA31,IF(OR('Model inputs'!X19="",'Model inputs'!AA31=""),"",'Model inputs'!X19&gt;'Model inputs'!AA31))="",FALSE,IF(ISERROR('Model inputs'!X19&gt;'Model inputs'!AA31),'Model inputs'!X19&gt;'Model inputs'!AA31,IF(OR('Model inputs'!X19="",'Model inputs'!AA31=""),"",'Model inputs'!X19&gt;'Model inputs'!AA31))),'Model inputs'!AA13*'Model inputs'!AA11,0)</f>
        <v>8000</v>
      </c>
      <c r="Y12" s="20">
        <f>IF(IF(IF(ISERROR('Model inputs'!Y19&gt;'Model inputs'!AA31),'Model inputs'!Y19&gt;'Model inputs'!AA31,IF(OR('Model inputs'!Y19="",'Model inputs'!AA31=""),"",'Model inputs'!Y19&gt;'Model inputs'!AA31))="",FALSE,IF(ISERROR('Model inputs'!Y19&gt;'Model inputs'!AA31),'Model inputs'!Y19&gt;'Model inputs'!AA31,IF(OR('Model inputs'!Y19="",'Model inputs'!AA31=""),"",'Model inputs'!Y19&gt;'Model inputs'!AA31))),'Model inputs'!AA13*'Model inputs'!AA11,0)</f>
        <v>8000</v>
      </c>
      <c r="Z12" s="20">
        <f>IF(IF(IF(ISERROR('Model inputs'!Z19&gt;'Model inputs'!AA31),'Model inputs'!Z19&gt;'Model inputs'!AA31,IF(OR('Model inputs'!Z19="",'Model inputs'!AA31=""),"",'Model inputs'!Z19&gt;'Model inputs'!AA31))="",FALSE,IF(ISERROR('Model inputs'!Z19&gt;'Model inputs'!AA31),'Model inputs'!Z19&gt;'Model inputs'!AA31,IF(OR('Model inputs'!Z19="",'Model inputs'!AA31=""),"",'Model inputs'!Z19&gt;'Model inputs'!AA31))),'Model inputs'!AA13*'Model inputs'!AA11,0)</f>
        <v>8000</v>
      </c>
    </row>
    <row r="13">
      <c r="A13" t="inlineStr" s="19">
        <is>
          <t xml:space="preserve">Founders</t>
        </is>
      </c>
      <c r="AA13" s="20">
        <f>2</f>
        <v>2</v>
      </c>
    </row>
    <row r="14">
      <c r="A14" t="inlineStr" s="19">
        <is>
          <t xml:space="preserve">Funding needed to date</t>
        </is>
      </c>
      <c r="B14" s="20">
        <f>0</f>
        <v>0</v>
      </c>
      <c r="C14" s="20">
        <f>IF(IF(IF(ISERROR(-'Model inputs'!C7&gt;'Model inputs'!B14),-'Model inputs'!C7&gt;'Model inputs'!B14,IF('Model inputs'!B14="","",-'Model inputs'!C7&gt;'Model inputs'!B14))="",FALSE,IF(ISERROR(-'Model inputs'!C7&gt;'Model inputs'!B14),-'Model inputs'!C7&gt;'Model inputs'!B14,IF('Model inputs'!B14="","",-'Model inputs'!C7&gt;'Model inputs'!B14))),-'Model inputs'!C7,IF('Model inputs'!B14="","",'Model inputs'!B14))</f>
        <v>0</v>
      </c>
      <c r="D14" s="20">
        <f>IF(IF(IF(ISERROR(-'Model inputs'!D7&gt;'Model inputs'!C14),-'Model inputs'!D7&gt;'Model inputs'!C14,IF('Model inputs'!C14="","",-'Model inputs'!D7&gt;'Model inputs'!C14))="",FALSE,IF(ISERROR(-'Model inputs'!D7&gt;'Model inputs'!C14),-'Model inputs'!D7&gt;'Model inputs'!C14,IF('Model inputs'!C14="","",-'Model inputs'!D7&gt;'Model inputs'!C14))),-'Model inputs'!D7,IF('Model inputs'!C14="","",'Model inputs'!C14))</f>
        <v>0</v>
      </c>
      <c r="E14" s="20">
        <f>IF(IF(IF(ISERROR(-'Model inputs'!E7&gt;'Model inputs'!D14),-'Model inputs'!E7&gt;'Model inputs'!D14,IF('Model inputs'!D14="","",-'Model inputs'!E7&gt;'Model inputs'!D14))="",FALSE,IF(ISERROR(-'Model inputs'!E7&gt;'Model inputs'!D14),-'Model inputs'!E7&gt;'Model inputs'!D14,IF('Model inputs'!D14="","",-'Model inputs'!E7&gt;'Model inputs'!D14))),-'Model inputs'!E7,IF('Model inputs'!D14="","",'Model inputs'!D14))</f>
        <v>0</v>
      </c>
      <c r="F14" s="20">
        <f>IF(IF(IF(ISERROR(-'Model inputs'!F7&gt;'Model inputs'!E14),-'Model inputs'!F7&gt;'Model inputs'!E14,IF('Model inputs'!E14="","",-'Model inputs'!F7&gt;'Model inputs'!E14))="",FALSE,IF(ISERROR(-'Model inputs'!F7&gt;'Model inputs'!E14),-'Model inputs'!F7&gt;'Model inputs'!E14,IF('Model inputs'!E14="","",-'Model inputs'!F7&gt;'Model inputs'!E14))),-'Model inputs'!F7,IF('Model inputs'!E14="","",'Model inputs'!E14))</f>
        <v>0</v>
      </c>
      <c r="G14" s="20">
        <f>IF(IF(IF(ISERROR(-'Model inputs'!G7&gt;'Model inputs'!F14),-'Model inputs'!G7&gt;'Model inputs'!F14,IF('Model inputs'!F14="","",-'Model inputs'!G7&gt;'Model inputs'!F14))="",FALSE,IF(ISERROR(-'Model inputs'!G7&gt;'Model inputs'!F14),-'Model inputs'!G7&gt;'Model inputs'!F14,IF('Model inputs'!F14="","",-'Model inputs'!G7&gt;'Model inputs'!F14))),-'Model inputs'!G7,IF('Model inputs'!F14="","",'Model inputs'!F14))</f>
        <v>0</v>
      </c>
      <c r="H14" s="20">
        <f>IF(IF(IF(ISERROR(-'Model inputs'!H7&gt;'Model inputs'!G14),-'Model inputs'!H7&gt;'Model inputs'!G14,IF('Model inputs'!G14="","",-'Model inputs'!H7&gt;'Model inputs'!G14))="",FALSE,IF(ISERROR(-'Model inputs'!H7&gt;'Model inputs'!G14),-'Model inputs'!H7&gt;'Model inputs'!G14,IF('Model inputs'!G14="","",-'Model inputs'!H7&gt;'Model inputs'!G14))),-'Model inputs'!H7,IF('Model inputs'!G14="","",'Model inputs'!G14))</f>
        <v>0</v>
      </c>
      <c r="I14" s="20">
        <f>IF(IF(IF(ISERROR(-'Model inputs'!I7&gt;'Model inputs'!H14),-'Model inputs'!I7&gt;'Model inputs'!H14,IF('Model inputs'!H14="","",-'Model inputs'!I7&gt;'Model inputs'!H14))="",FALSE,IF(ISERROR(-'Model inputs'!I7&gt;'Model inputs'!H14),-'Model inputs'!I7&gt;'Model inputs'!H14,IF('Model inputs'!H14="","",-'Model inputs'!I7&gt;'Model inputs'!H14))),-'Model inputs'!I7,IF('Model inputs'!H14="","",'Model inputs'!H14))</f>
        <v>0</v>
      </c>
      <c r="J14" s="20">
        <f>IF(IF(IF(ISERROR(-'Model inputs'!J7&gt;'Model inputs'!I14),-'Model inputs'!J7&gt;'Model inputs'!I14,IF('Model inputs'!I14="","",-'Model inputs'!J7&gt;'Model inputs'!I14))="",FALSE,IF(ISERROR(-'Model inputs'!J7&gt;'Model inputs'!I14),-'Model inputs'!J7&gt;'Model inputs'!I14,IF('Model inputs'!I14="","",-'Model inputs'!J7&gt;'Model inputs'!I14))),-'Model inputs'!J7,IF('Model inputs'!I14="","",'Model inputs'!I14))</f>
        <v>0</v>
      </c>
      <c r="K14" s="20">
        <f>IF(IF(IF(ISERROR(-'Model inputs'!K7&gt;'Model inputs'!J14),-'Model inputs'!K7&gt;'Model inputs'!J14,IF('Model inputs'!J14="","",-'Model inputs'!K7&gt;'Model inputs'!J14))="",FALSE,IF(ISERROR(-'Model inputs'!K7&gt;'Model inputs'!J14),-'Model inputs'!K7&gt;'Model inputs'!J14,IF('Model inputs'!J14="","",-'Model inputs'!K7&gt;'Model inputs'!J14))),-'Model inputs'!K7,IF('Model inputs'!J14="","",'Model inputs'!J14))</f>
        <v>0</v>
      </c>
      <c r="L14" s="20">
        <f>IF(IF(IF(ISERROR(-'Model inputs'!L7&gt;'Model inputs'!K14),-'Model inputs'!L7&gt;'Model inputs'!K14,IF('Model inputs'!K14="","",-'Model inputs'!L7&gt;'Model inputs'!K14))="",FALSE,IF(ISERROR(-'Model inputs'!L7&gt;'Model inputs'!K14),-'Model inputs'!L7&gt;'Model inputs'!K14,IF('Model inputs'!K14="","",-'Model inputs'!L7&gt;'Model inputs'!K14))),-'Model inputs'!L7,IF('Model inputs'!K14="","",'Model inputs'!K14))</f>
        <v>0</v>
      </c>
      <c r="M14" s="20">
        <f>IF(IF(IF(ISERROR(-'Model inputs'!M7&gt;'Model inputs'!L14),-'Model inputs'!M7&gt;'Model inputs'!L14,IF('Model inputs'!L14="","",-'Model inputs'!M7&gt;'Model inputs'!L14))="",FALSE,IF(ISERROR(-'Model inputs'!M7&gt;'Model inputs'!L14),-'Model inputs'!M7&gt;'Model inputs'!L14,IF('Model inputs'!L14="","",-'Model inputs'!M7&gt;'Model inputs'!L14))),-'Model inputs'!M7,IF('Model inputs'!L14="","",'Model inputs'!L14))</f>
        <v>0</v>
      </c>
      <c r="N14" s="20">
        <f>IF(IF(IF(ISERROR(-'Model inputs'!N7&gt;'Model inputs'!M14),-'Model inputs'!N7&gt;'Model inputs'!M14,IF('Model inputs'!M14="","",-'Model inputs'!N7&gt;'Model inputs'!M14))="",FALSE,IF(ISERROR(-'Model inputs'!N7&gt;'Model inputs'!M14),-'Model inputs'!N7&gt;'Model inputs'!M14,IF('Model inputs'!M14="","",-'Model inputs'!N7&gt;'Model inputs'!M14))),-'Model inputs'!N7,IF('Model inputs'!M14="","",'Model inputs'!M14))</f>
        <v>0</v>
      </c>
      <c r="O14" s="20">
        <f>IF(IF(IF(ISERROR(-'Model inputs'!O7&gt;'Model inputs'!N14),-'Model inputs'!O7&gt;'Model inputs'!N14,IF('Model inputs'!N14="","",-'Model inputs'!O7&gt;'Model inputs'!N14))="",FALSE,IF(ISERROR(-'Model inputs'!O7&gt;'Model inputs'!N14),-'Model inputs'!O7&gt;'Model inputs'!N14,IF('Model inputs'!N14="","",-'Model inputs'!O7&gt;'Model inputs'!N14))),-'Model inputs'!O7,IF('Model inputs'!N14="","",'Model inputs'!N14))</f>
        <v>0</v>
      </c>
      <c r="P14" s="20">
        <f>IF(IF(IF(ISERROR(-'Model inputs'!P7&gt;'Model inputs'!O14),-'Model inputs'!P7&gt;'Model inputs'!O14,IF('Model inputs'!O14="","",-'Model inputs'!P7&gt;'Model inputs'!O14))="",FALSE,IF(ISERROR(-'Model inputs'!P7&gt;'Model inputs'!O14),-'Model inputs'!P7&gt;'Model inputs'!O14,IF('Model inputs'!O14="","",-'Model inputs'!P7&gt;'Model inputs'!O14))),-'Model inputs'!P7,IF('Model inputs'!O14="","",'Model inputs'!O14))</f>
        <v>0</v>
      </c>
      <c r="Q14" s="20">
        <f>IF(IF(IF(ISERROR(-'Model inputs'!Q7&gt;'Model inputs'!P14),-'Model inputs'!Q7&gt;'Model inputs'!P14,IF('Model inputs'!P14="","",-'Model inputs'!Q7&gt;'Model inputs'!P14))="",FALSE,IF(ISERROR(-'Model inputs'!Q7&gt;'Model inputs'!P14),-'Model inputs'!Q7&gt;'Model inputs'!P14,IF('Model inputs'!P14="","",-'Model inputs'!Q7&gt;'Model inputs'!P14))),-'Model inputs'!Q7,IF('Model inputs'!P14="","",'Model inputs'!P14))</f>
        <v>0</v>
      </c>
      <c r="R14" s="20">
        <f>IF(IF(IF(ISERROR(-'Model inputs'!R7&gt;'Model inputs'!Q14),-'Model inputs'!R7&gt;'Model inputs'!Q14,IF('Model inputs'!Q14="","",-'Model inputs'!R7&gt;'Model inputs'!Q14))="",FALSE,IF(ISERROR(-'Model inputs'!R7&gt;'Model inputs'!Q14),-'Model inputs'!R7&gt;'Model inputs'!Q14,IF('Model inputs'!Q14="","",-'Model inputs'!R7&gt;'Model inputs'!Q14))),-'Model inputs'!R7,IF('Model inputs'!Q14="","",'Model inputs'!Q14))</f>
        <v>0</v>
      </c>
      <c r="S14" s="20">
        <f>IF(IF(IF(ISERROR(-'Model inputs'!S7&gt;'Model inputs'!R14),-'Model inputs'!S7&gt;'Model inputs'!R14,IF('Model inputs'!R14="","",-'Model inputs'!S7&gt;'Model inputs'!R14))="",FALSE,IF(ISERROR(-'Model inputs'!S7&gt;'Model inputs'!R14),-'Model inputs'!S7&gt;'Model inputs'!R14,IF('Model inputs'!R14="","",-'Model inputs'!S7&gt;'Model inputs'!R14))),-'Model inputs'!S7,IF('Model inputs'!R14="","",'Model inputs'!R14))</f>
        <v>0</v>
      </c>
      <c r="T14" s="20">
        <f>IF(IF(IF(ISERROR(-'Model inputs'!T7&gt;'Model inputs'!S14),-'Model inputs'!T7&gt;'Model inputs'!S14,IF('Model inputs'!S14="","",-'Model inputs'!T7&gt;'Model inputs'!S14))="",FALSE,IF(ISERROR(-'Model inputs'!T7&gt;'Model inputs'!S14),-'Model inputs'!T7&gt;'Model inputs'!S14,IF('Model inputs'!S14="","",-'Model inputs'!T7&gt;'Model inputs'!S14))),-'Model inputs'!T7,IF('Model inputs'!S14="","",'Model inputs'!S14))</f>
        <v>0</v>
      </c>
      <c r="U14" s="20">
        <f>IF(IF(IF(ISERROR(-'Model inputs'!U7&gt;'Model inputs'!T14),-'Model inputs'!U7&gt;'Model inputs'!T14,IF('Model inputs'!T14="","",-'Model inputs'!U7&gt;'Model inputs'!T14))="",FALSE,IF(ISERROR(-'Model inputs'!U7&gt;'Model inputs'!T14),-'Model inputs'!U7&gt;'Model inputs'!T14,IF('Model inputs'!T14="","",-'Model inputs'!U7&gt;'Model inputs'!T14))),-'Model inputs'!U7,IF('Model inputs'!T14="","",'Model inputs'!T14))</f>
        <v>0</v>
      </c>
      <c r="V14" s="20">
        <f>IF(IF(IF(ISERROR(-'Model inputs'!V7&gt;'Model inputs'!U14),-'Model inputs'!V7&gt;'Model inputs'!U14,IF('Model inputs'!U14="","",-'Model inputs'!V7&gt;'Model inputs'!U14))="",FALSE,IF(ISERROR(-'Model inputs'!V7&gt;'Model inputs'!U14),-'Model inputs'!V7&gt;'Model inputs'!U14,IF('Model inputs'!U14="","",-'Model inputs'!V7&gt;'Model inputs'!U14))),-'Model inputs'!V7,IF('Model inputs'!U14="","",'Model inputs'!U14))</f>
        <v>0</v>
      </c>
      <c r="W14" s="20">
        <f>IF(IF(IF(ISERROR(-'Model inputs'!W7&gt;'Model inputs'!V14),-'Model inputs'!W7&gt;'Model inputs'!V14,IF('Model inputs'!V14="","",-'Model inputs'!W7&gt;'Model inputs'!V14))="",FALSE,IF(ISERROR(-'Model inputs'!W7&gt;'Model inputs'!V14),-'Model inputs'!W7&gt;'Model inputs'!V14,IF('Model inputs'!V14="","",-'Model inputs'!W7&gt;'Model inputs'!V14))),-'Model inputs'!W7,IF('Model inputs'!V14="","",'Model inputs'!V14))</f>
        <v>84.00000000000728</v>
      </c>
      <c r="X14" s="20">
        <f>IF(IF(IF(ISERROR(-'Model inputs'!X7&gt;'Model inputs'!W14),-'Model inputs'!X7&gt;'Model inputs'!W14,IF('Model inputs'!W14="","",-'Model inputs'!X7&gt;'Model inputs'!W14))="",FALSE,IF(ISERROR(-'Model inputs'!X7&gt;'Model inputs'!W14),-'Model inputs'!X7&gt;'Model inputs'!W14,IF('Model inputs'!W14="","",-'Model inputs'!X7&gt;'Model inputs'!W14))),-'Model inputs'!X7,IF('Model inputs'!W14="","",'Model inputs'!W14))</f>
        <v>4174.000000000007</v>
      </c>
      <c r="Y14" s="20">
        <f>IF(IF(IF(ISERROR(-'Model inputs'!Y7&gt;'Model inputs'!X14),-'Model inputs'!Y7&gt;'Model inputs'!X14,IF('Model inputs'!X14="","",-'Model inputs'!Y7&gt;'Model inputs'!X14))="",FALSE,IF(ISERROR(-'Model inputs'!Y7&gt;'Model inputs'!X14),-'Model inputs'!Y7&gt;'Model inputs'!X14,IF('Model inputs'!X14="","",-'Model inputs'!Y7&gt;'Model inputs'!X14))),-'Model inputs'!Y7,IF('Model inputs'!X14="","",'Model inputs'!X14))</f>
        <v>8264.000000000007</v>
      </c>
      <c r="Z14" s="20">
        <f>IF(IF(IF(ISERROR(-'Model inputs'!Z7&gt;'Model inputs'!Y14),-'Model inputs'!Z7&gt;'Model inputs'!Y14,IF('Model inputs'!Y14="","",-'Model inputs'!Z7&gt;'Model inputs'!Y14))="",FALSE,IF(ISERROR(-'Model inputs'!Z7&gt;'Model inputs'!Y14),-'Model inputs'!Z7&gt;'Model inputs'!Y14,IF('Model inputs'!Y14="","",-'Model inputs'!Z7&gt;'Model inputs'!Y14))),-'Model inputs'!Z7,IF('Model inputs'!Y14="","",'Model inputs'!Y14))</f>
        <v>12354.000000000007</v>
      </c>
    </row>
    <row r="15">
      <c r="A15" t="inlineStr" s="19">
        <is>
          <t xml:space="preserve">Green PR rate</t>
        </is>
      </c>
      <c r="AA15" s="20">
        <f>0.6</f>
        <v>0.6</v>
      </c>
    </row>
    <row r="16">
      <c r="A16" t="inlineStr" s="19">
        <is>
          <t xml:space="preserve">Green PRs</t>
        </is>
      </c>
      <c r="B16" s="20">
        <v>0</v>
      </c>
      <c r="C16" s="20">
        <f>'Model inputs'!C32*'Model inputs'!AA15</f>
        <v>60</v>
      </c>
      <c r="D16" s="20">
        <f>'Model inputs'!D32*'Model inputs'!AA15</f>
        <v>109.09090909090908</v>
      </c>
      <c r="E16" s="20">
        <f>'Model inputs'!E32*'Model inputs'!AA15</f>
        <v>158.18181818181816</v>
      </c>
      <c r="F16" s="20">
        <f>'Model inputs'!F32*'Model inputs'!AA15</f>
        <v>207.27272727272728</v>
      </c>
      <c r="G16" s="20">
        <f>'Model inputs'!G32*'Model inputs'!AA15</f>
        <v>256.3636363636363</v>
      </c>
      <c r="H16" s="20">
        <f>'Model inputs'!H32*'Model inputs'!AA15</f>
        <v>305.45454545454544</v>
      </c>
      <c r="I16" s="20">
        <f>'Model inputs'!I32*'Model inputs'!AA15</f>
        <v>354.54545454545456</v>
      </c>
      <c r="J16" s="20">
        <f>'Model inputs'!J32*'Model inputs'!AA15</f>
        <v>403.6363636363636</v>
      </c>
      <c r="K16" s="20">
        <f>'Model inputs'!K32*'Model inputs'!AA15</f>
        <v>452.7272727272727</v>
      </c>
      <c r="L16" s="20">
        <f>'Model inputs'!L32*'Model inputs'!AA15</f>
        <v>501.8181818181818</v>
      </c>
      <c r="M16" s="20">
        <f>'Model inputs'!M32*'Model inputs'!AA15</f>
        <v>550.9090909090909</v>
      </c>
      <c r="N16" s="20">
        <f>'Model inputs'!N32*'Model inputs'!AA15</f>
        <v>600</v>
      </c>
      <c r="O16" s="20">
        <f>'Model inputs'!O32*'Model inputs'!AA15</f>
        <v>600</v>
      </c>
      <c r="P16" s="20">
        <f>'Model inputs'!P32*'Model inputs'!AA15</f>
        <v>600</v>
      </c>
      <c r="Q16" s="20">
        <f>'Model inputs'!Q32*'Model inputs'!AA15</f>
        <v>600</v>
      </c>
      <c r="R16" s="20">
        <f>'Model inputs'!R32*'Model inputs'!AA15</f>
        <v>600</v>
      </c>
      <c r="S16" s="20">
        <f>'Model inputs'!S32*'Model inputs'!AA15</f>
        <v>600</v>
      </c>
      <c r="T16" s="20">
        <f>'Model inputs'!T32*'Model inputs'!AA15</f>
        <v>600</v>
      </c>
      <c r="U16" s="20">
        <f>'Model inputs'!U32*'Model inputs'!AA15</f>
        <v>600</v>
      </c>
      <c r="V16" s="20">
        <f>'Model inputs'!V32*'Model inputs'!AA15</f>
        <v>600</v>
      </c>
      <c r="W16" s="20">
        <f>'Model inputs'!W32*'Model inputs'!AA15</f>
        <v>600</v>
      </c>
      <c r="X16" s="20">
        <f>'Model inputs'!X32*'Model inputs'!AA15</f>
        <v>600</v>
      </c>
      <c r="Y16" s="20">
        <f>'Model inputs'!Y32*'Model inputs'!AA15</f>
        <v>600</v>
      </c>
      <c r="Z16" s="20">
        <f>'Model inputs'!Z32*'Model inputs'!AA15</f>
        <v>600</v>
      </c>
    </row>
    <row r="17">
      <c r="A17" t="inlineStr" s="19">
        <is>
          <t xml:space="preserve">Gross profit</t>
        </is>
      </c>
      <c r="B17" s="20">
        <v>0</v>
      </c>
      <c r="C17" s="20">
        <f>'Model inputs'!C27-'Model inputs'!C9</f>
        <v>411</v>
      </c>
      <c r="D17" s="20">
        <f>'Model inputs'!D27-'Model inputs'!D9</f>
        <v>747.2727272727271</v>
      </c>
      <c r="E17" s="20">
        <f>'Model inputs'!E27-'Model inputs'!E9</f>
        <v>1083.5454545454543</v>
      </c>
      <c r="F17" s="20">
        <f>'Model inputs'!F27-'Model inputs'!F9</f>
        <v>1419.818181818182</v>
      </c>
      <c r="G17" s="20">
        <f>'Model inputs'!G27-'Model inputs'!G9</f>
        <v>1756.0909090909086</v>
      </c>
      <c r="H17" s="20">
        <f>'Model inputs'!H27-'Model inputs'!H9</f>
        <v>2092.3636363636365</v>
      </c>
      <c r="I17" s="20">
        <f>'Model inputs'!I27-'Model inputs'!I9</f>
        <v>2428.636363636364</v>
      </c>
      <c r="J17" s="20">
        <f>'Model inputs'!J27-'Model inputs'!J9</f>
        <v>2764.909090909091</v>
      </c>
      <c r="K17" s="20">
        <f>'Model inputs'!K27-'Model inputs'!K9</f>
        <v>3101.181818181818</v>
      </c>
      <c r="L17" s="20">
        <f>'Model inputs'!L27-'Model inputs'!L9</f>
        <v>3437.454545454545</v>
      </c>
      <c r="M17" s="20">
        <f>'Model inputs'!M27-'Model inputs'!M9</f>
        <v>3773.727272727273</v>
      </c>
      <c r="N17" s="20">
        <f>'Model inputs'!N27-'Model inputs'!N9</f>
        <v>4110</v>
      </c>
      <c r="O17" s="20">
        <f>'Model inputs'!O27-'Model inputs'!O9</f>
        <v>4110</v>
      </c>
      <c r="P17" s="20">
        <f>'Model inputs'!P27-'Model inputs'!P9</f>
        <v>4110</v>
      </c>
      <c r="Q17" s="20">
        <f>'Model inputs'!Q27-'Model inputs'!Q9</f>
        <v>4110</v>
      </c>
      <c r="R17" s="20">
        <f>'Model inputs'!R27-'Model inputs'!R9</f>
        <v>4110</v>
      </c>
      <c r="S17" s="20">
        <f>'Model inputs'!S27-'Model inputs'!S9</f>
        <v>4110</v>
      </c>
      <c r="T17" s="20">
        <f>'Model inputs'!T27-'Model inputs'!T9</f>
        <v>4110</v>
      </c>
      <c r="U17" s="20">
        <f>'Model inputs'!U27-'Model inputs'!U9</f>
        <v>4110</v>
      </c>
      <c r="V17" s="20">
        <f>'Model inputs'!V27-'Model inputs'!V9</f>
        <v>4110</v>
      </c>
      <c r="W17" s="20">
        <f>'Model inputs'!W27-'Model inputs'!W9</f>
        <v>4110</v>
      </c>
      <c r="X17" s="20">
        <f>'Model inputs'!X27-'Model inputs'!X9</f>
        <v>4110</v>
      </c>
      <c r="Y17" s="20">
        <f>'Model inputs'!Y27-'Model inputs'!Y9</f>
        <v>4110</v>
      </c>
      <c r="Z17" s="20">
        <f>'Model inputs'!Z27-'Model inputs'!Z9</f>
        <v>4110</v>
      </c>
    </row>
    <row r="18">
      <c r="A18" t="inlineStr" s="19">
        <is>
          <t xml:space="preserve">Model cost per green PR</t>
        </is>
      </c>
      <c r="AA18" s="20">
        <f>2.85</f>
        <v>2.85</v>
      </c>
    </row>
    <row r="19">
      <c r="A19" t="inlineStr" s="19">
        <is>
          <t xml:space="preserve">Month number</t>
        </is>
      </c>
      <c r="B19" s="20">
        <f>0</f>
        <v>0</v>
      </c>
      <c r="C19" s="20">
        <f>'Model inputs'!B19+1</f>
        <v>1</v>
      </c>
      <c r="D19" s="20">
        <f>'Model inputs'!C19+1</f>
        <v>2</v>
      </c>
      <c r="E19" s="20">
        <f>'Model inputs'!D19+1</f>
        <v>3</v>
      </c>
      <c r="F19" s="20">
        <f>'Model inputs'!E19+1</f>
        <v>4</v>
      </c>
      <c r="G19" s="20">
        <f>'Model inputs'!F19+1</f>
        <v>5</v>
      </c>
      <c r="H19" s="20">
        <f>'Model inputs'!G19+1</f>
        <v>6</v>
      </c>
      <c r="I19" s="20">
        <f>'Model inputs'!H19+1</f>
        <v>7</v>
      </c>
      <c r="J19" s="20">
        <f>'Model inputs'!I19+1</f>
        <v>8</v>
      </c>
      <c r="K19" s="20">
        <f>'Model inputs'!J19+1</f>
        <v>9</v>
      </c>
      <c r="L19" s="20">
        <f>'Model inputs'!K19+1</f>
        <v>10</v>
      </c>
      <c r="M19" s="20">
        <f>'Model inputs'!L19+1</f>
        <v>11</v>
      </c>
      <c r="N19" s="20">
        <f>'Model inputs'!M19+1</f>
        <v>12</v>
      </c>
      <c r="O19" s="20">
        <f>'Model inputs'!N19+1</f>
        <v>13</v>
      </c>
      <c r="P19" s="20">
        <f>'Model inputs'!O19+1</f>
        <v>14</v>
      </c>
      <c r="Q19" s="20">
        <f>'Model inputs'!P19+1</f>
        <v>15</v>
      </c>
      <c r="R19" s="20">
        <f>'Model inputs'!Q19+1</f>
        <v>16</v>
      </c>
      <c r="S19" s="20">
        <f>'Model inputs'!R19+1</f>
        <v>17</v>
      </c>
      <c r="T19" s="20">
        <f>'Model inputs'!S19+1</f>
        <v>18</v>
      </c>
      <c r="U19" s="20">
        <f>'Model inputs'!T19+1</f>
        <v>19</v>
      </c>
      <c r="V19" s="20">
        <f>'Model inputs'!U19+1</f>
        <v>20</v>
      </c>
      <c r="W19" s="20">
        <f>'Model inputs'!V19+1</f>
        <v>21</v>
      </c>
      <c r="X19" s="20">
        <f>'Model inputs'!W19+1</f>
        <v>22</v>
      </c>
      <c r="Y19" s="20">
        <f>'Model inputs'!X19+1</f>
        <v>23</v>
      </c>
      <c r="Z19" s="20">
        <f>'Model inputs'!Y19+1</f>
        <v>24</v>
      </c>
    </row>
    <row r="20">
      <c r="A20" t="inlineStr" s="19">
        <is>
          <t xml:space="preserve">Net burn</t>
        </is>
      </c>
      <c r="B20" s="20">
        <v>0</v>
      </c>
      <c r="C20" s="20">
        <f>-'Model inputs'!C22</f>
        <v>-211</v>
      </c>
      <c r="D20" s="20">
        <f>-'Model inputs'!D22</f>
        <v>-547.2727272727271</v>
      </c>
      <c r="E20" s="20">
        <f>-'Model inputs'!E22</f>
        <v>-883.5454545454543</v>
      </c>
      <c r="F20" s="20">
        <f>-'Model inputs'!F22</f>
        <v>-1219.818181818182</v>
      </c>
      <c r="G20" s="20">
        <f>-'Model inputs'!G22</f>
        <v>-1556.0909090909086</v>
      </c>
      <c r="H20" s="20">
        <f>-'Model inputs'!H22</f>
        <v>-1892.3636363636365</v>
      </c>
      <c r="I20" s="20">
        <f>-'Model inputs'!I22</f>
        <v>5771.363636363636</v>
      </c>
      <c r="J20" s="20">
        <f>-'Model inputs'!J22</f>
        <v>5435.090909090909</v>
      </c>
      <c r="K20" s="20">
        <f>-'Model inputs'!K22</f>
        <v>5098.818181818182</v>
      </c>
      <c r="L20" s="20">
        <f>-'Model inputs'!L22</f>
        <v>4762.545454545455</v>
      </c>
      <c r="M20" s="20">
        <f>-'Model inputs'!M22</f>
        <v>4426.272727272727</v>
      </c>
      <c r="N20" s="20">
        <f>-'Model inputs'!N22</f>
        <v>4090</v>
      </c>
      <c r="O20" s="20">
        <f>-'Model inputs'!O22</f>
        <v>4090</v>
      </c>
      <c r="P20" s="20">
        <f>-'Model inputs'!P22</f>
        <v>4090</v>
      </c>
      <c r="Q20" s="20">
        <f>-'Model inputs'!Q22</f>
        <v>4090</v>
      </c>
      <c r="R20" s="20">
        <f>-'Model inputs'!R22</f>
        <v>4090</v>
      </c>
      <c r="S20" s="20">
        <f>-'Model inputs'!S22</f>
        <v>4090</v>
      </c>
      <c r="T20" s="20">
        <f>-'Model inputs'!T22</f>
        <v>4090</v>
      </c>
      <c r="U20" s="20">
        <f>-'Model inputs'!U22</f>
        <v>4090</v>
      </c>
      <c r="V20" s="20">
        <f>-'Model inputs'!V22</f>
        <v>4090</v>
      </c>
      <c r="W20" s="20">
        <f>-'Model inputs'!W22</f>
        <v>4090</v>
      </c>
      <c r="X20" s="20">
        <f>-'Model inputs'!X22</f>
        <v>4090</v>
      </c>
      <c r="Y20" s="20">
        <f>-'Model inputs'!Y22</f>
        <v>4090</v>
      </c>
      <c r="Z20" s="20">
        <f>-'Model inputs'!Z22</f>
        <v>4090</v>
      </c>
    </row>
    <row r="21">
      <c r="A21" t="inlineStr" s="19">
        <is>
          <t xml:space="preserve">Operating expenses</t>
        </is>
      </c>
      <c r="B21" s="20">
        <v>0</v>
      </c>
      <c r="C21" s="20">
        <f>'Model inputs'!C12+'Model inputs'!C28</f>
        <v>200</v>
      </c>
      <c r="D21" s="20">
        <f>'Model inputs'!D12+'Model inputs'!D28</f>
        <v>200</v>
      </c>
      <c r="E21" s="20">
        <f>'Model inputs'!E12+'Model inputs'!E28</f>
        <v>200</v>
      </c>
      <c r="F21" s="20">
        <f>'Model inputs'!F12+'Model inputs'!F28</f>
        <v>200</v>
      </c>
      <c r="G21" s="20">
        <f>'Model inputs'!G12+'Model inputs'!G28</f>
        <v>200</v>
      </c>
      <c r="H21" s="20">
        <f>'Model inputs'!H12+'Model inputs'!H28</f>
        <v>200</v>
      </c>
      <c r="I21" s="20">
        <f>'Model inputs'!I12+'Model inputs'!I28</f>
        <v>8200</v>
      </c>
      <c r="J21" s="20">
        <f>'Model inputs'!J12+'Model inputs'!J28</f>
        <v>8200</v>
      </c>
      <c r="K21" s="20">
        <f>'Model inputs'!K12+'Model inputs'!K28</f>
        <v>8200</v>
      </c>
      <c r="L21" s="20">
        <f>'Model inputs'!L12+'Model inputs'!L28</f>
        <v>8200</v>
      </c>
      <c r="M21" s="20">
        <f>'Model inputs'!M12+'Model inputs'!M28</f>
        <v>8200</v>
      </c>
      <c r="N21" s="20">
        <f>'Model inputs'!N12+'Model inputs'!N28</f>
        <v>8200</v>
      </c>
      <c r="O21" s="20">
        <f>'Model inputs'!O12+'Model inputs'!O28</f>
        <v>8200</v>
      </c>
      <c r="P21" s="20">
        <f>'Model inputs'!P12+'Model inputs'!P28</f>
        <v>8200</v>
      </c>
      <c r="Q21" s="20">
        <f>'Model inputs'!Q12+'Model inputs'!Q28</f>
        <v>8200</v>
      </c>
      <c r="R21" s="20">
        <f>'Model inputs'!R12+'Model inputs'!R28</f>
        <v>8200</v>
      </c>
      <c r="S21" s="20">
        <f>'Model inputs'!S12+'Model inputs'!S28</f>
        <v>8200</v>
      </c>
      <c r="T21" s="20">
        <f>'Model inputs'!T12+'Model inputs'!T28</f>
        <v>8200</v>
      </c>
      <c r="U21" s="20">
        <f>'Model inputs'!U12+'Model inputs'!U28</f>
        <v>8200</v>
      </c>
      <c r="V21" s="20">
        <f>'Model inputs'!V12+'Model inputs'!V28</f>
        <v>8200</v>
      </c>
      <c r="W21" s="20">
        <f>'Model inputs'!W12+'Model inputs'!W28</f>
        <v>8200</v>
      </c>
      <c r="X21" s="20">
        <f>'Model inputs'!X12+'Model inputs'!X28</f>
        <v>8200</v>
      </c>
      <c r="Y21" s="20">
        <f>'Model inputs'!Y12+'Model inputs'!Y28</f>
        <v>8200</v>
      </c>
      <c r="Z21" s="20">
        <f>'Model inputs'!Z12+'Model inputs'!Z28</f>
        <v>8200</v>
      </c>
    </row>
    <row r="22">
      <c r="A22" t="inlineStr" s="19">
        <is>
          <t xml:space="preserve">Operating income</t>
        </is>
      </c>
      <c r="B22" s="20">
        <v>0</v>
      </c>
      <c r="C22" s="20">
        <f>'Model inputs'!C17-'Model inputs'!C21</f>
        <v>211</v>
      </c>
      <c r="D22" s="20">
        <f>'Model inputs'!D17-'Model inputs'!D21</f>
        <v>547.2727272727271</v>
      </c>
      <c r="E22" s="20">
        <f>'Model inputs'!E17-'Model inputs'!E21</f>
        <v>883.5454545454543</v>
      </c>
      <c r="F22" s="20">
        <f>'Model inputs'!F17-'Model inputs'!F21</f>
        <v>1219.818181818182</v>
      </c>
      <c r="G22" s="20">
        <f>'Model inputs'!G17-'Model inputs'!G21</f>
        <v>1556.0909090909086</v>
      </c>
      <c r="H22" s="20">
        <f>'Model inputs'!H17-'Model inputs'!H21</f>
        <v>1892.3636363636365</v>
      </c>
      <c r="I22" s="20">
        <f>'Model inputs'!I17-'Model inputs'!I21</f>
        <v>-5771.363636363636</v>
      </c>
      <c r="J22" s="20">
        <f>'Model inputs'!J17-'Model inputs'!J21</f>
        <v>-5435.090909090909</v>
      </c>
      <c r="K22" s="20">
        <f>'Model inputs'!K17-'Model inputs'!K21</f>
        <v>-5098.818181818182</v>
      </c>
      <c r="L22" s="20">
        <f>'Model inputs'!L17-'Model inputs'!L21</f>
        <v>-4762.545454545455</v>
      </c>
      <c r="M22" s="20">
        <f>'Model inputs'!M17-'Model inputs'!M21</f>
        <v>-4426.272727272727</v>
      </c>
      <c r="N22" s="20">
        <f>'Model inputs'!N17-'Model inputs'!N21</f>
        <v>-4090</v>
      </c>
      <c r="O22" s="20">
        <f>'Model inputs'!O17-'Model inputs'!O21</f>
        <v>-4090</v>
      </c>
      <c r="P22" s="20">
        <f>'Model inputs'!P17-'Model inputs'!P21</f>
        <v>-4090</v>
      </c>
      <c r="Q22" s="20">
        <f>'Model inputs'!Q17-'Model inputs'!Q21</f>
        <v>-4090</v>
      </c>
      <c r="R22" s="20">
        <f>'Model inputs'!R17-'Model inputs'!R21</f>
        <v>-4090</v>
      </c>
      <c r="S22" s="20">
        <f>'Model inputs'!S17-'Model inputs'!S21</f>
        <v>-4090</v>
      </c>
      <c r="T22" s="20">
        <f>'Model inputs'!T17-'Model inputs'!T21</f>
        <v>-4090</v>
      </c>
      <c r="U22" s="20">
        <f>'Model inputs'!U17-'Model inputs'!U21</f>
        <v>-4090</v>
      </c>
      <c r="V22" s="20">
        <f>'Model inputs'!V17-'Model inputs'!V21</f>
        <v>-4090</v>
      </c>
      <c r="W22" s="20">
        <f>'Model inputs'!W17-'Model inputs'!W21</f>
        <v>-4090</v>
      </c>
      <c r="X22" s="20">
        <f>'Model inputs'!X17-'Model inputs'!X21</f>
        <v>-4090</v>
      </c>
      <c r="Y22" s="20">
        <f>'Model inputs'!Y17-'Model inputs'!Y21</f>
        <v>-4090</v>
      </c>
      <c r="Z22" s="20">
        <f>'Model inputs'!Z17-'Model inputs'!Z21</f>
        <v>-4090</v>
      </c>
    </row>
    <row r="23">
      <c r="A23" t="inlineStr" s="19">
        <is>
          <t xml:space="preserve">Payment processing</t>
        </is>
      </c>
      <c r="B23" s="20">
        <v>0</v>
      </c>
      <c r="C23" s="20">
        <f>'Model inputs'!C27*'Model inputs'!AA24</f>
        <v>18</v>
      </c>
      <c r="D23" s="20">
        <f>'Model inputs'!D27*'Model inputs'!AA24</f>
        <v>32.72727272727272</v>
      </c>
      <c r="E23" s="20">
        <f>'Model inputs'!E27*'Model inputs'!AA24</f>
        <v>47.454545454545446</v>
      </c>
      <c r="F23" s="20">
        <f>'Model inputs'!F27*'Model inputs'!AA24</f>
        <v>62.18181818181819</v>
      </c>
      <c r="G23" s="20">
        <f>'Model inputs'!G27*'Model inputs'!AA24</f>
        <v>76.90909090909089</v>
      </c>
      <c r="H23" s="20">
        <f>'Model inputs'!H27*'Model inputs'!AA24</f>
        <v>91.63636363636363</v>
      </c>
      <c r="I23" s="20">
        <f>'Model inputs'!I27*'Model inputs'!AA24</f>
        <v>106.36363636363636</v>
      </c>
      <c r="J23" s="20">
        <f>'Model inputs'!J27*'Model inputs'!AA24</f>
        <v>121.09090909090908</v>
      </c>
      <c r="K23" s="20">
        <f>'Model inputs'!K27*'Model inputs'!AA24</f>
        <v>135.8181818181818</v>
      </c>
      <c r="L23" s="20">
        <f>'Model inputs'!L27*'Model inputs'!AA24</f>
        <v>150.54545454545453</v>
      </c>
      <c r="M23" s="20">
        <f>'Model inputs'!M27*'Model inputs'!AA24</f>
        <v>165.27272727272725</v>
      </c>
      <c r="N23" s="20">
        <f>'Model inputs'!N27*'Model inputs'!AA24</f>
        <v>180</v>
      </c>
      <c r="O23" s="20">
        <f>'Model inputs'!O27*'Model inputs'!AA24</f>
        <v>180</v>
      </c>
      <c r="P23" s="20">
        <f>'Model inputs'!P27*'Model inputs'!AA24</f>
        <v>180</v>
      </c>
      <c r="Q23" s="20">
        <f>'Model inputs'!Q27*'Model inputs'!AA24</f>
        <v>180</v>
      </c>
      <c r="R23" s="20">
        <f>'Model inputs'!R27*'Model inputs'!AA24</f>
        <v>180</v>
      </c>
      <c r="S23" s="20">
        <f>'Model inputs'!S27*'Model inputs'!AA24</f>
        <v>180</v>
      </c>
      <c r="T23" s="20">
        <f>'Model inputs'!T27*'Model inputs'!AA24</f>
        <v>180</v>
      </c>
      <c r="U23" s="20">
        <f>'Model inputs'!U27*'Model inputs'!AA24</f>
        <v>180</v>
      </c>
      <c r="V23" s="20">
        <f>'Model inputs'!V27*'Model inputs'!AA24</f>
        <v>180</v>
      </c>
      <c r="W23" s="20">
        <f>'Model inputs'!W27*'Model inputs'!AA24</f>
        <v>180</v>
      </c>
      <c r="X23" s="20">
        <f>'Model inputs'!X27*'Model inputs'!AA24</f>
        <v>180</v>
      </c>
      <c r="Y23" s="20">
        <f>'Model inputs'!Y27*'Model inputs'!AA24</f>
        <v>180</v>
      </c>
      <c r="Z23" s="20">
        <f>'Model inputs'!Z27*'Model inputs'!AA24</f>
        <v>180</v>
      </c>
    </row>
    <row r="24">
      <c r="A24" t="inlineStr" s="19">
        <is>
          <t xml:space="preserve">Payment processing rate</t>
        </is>
      </c>
      <c r="AA24" s="20">
        <f>0.03</f>
        <v>0.03</v>
      </c>
    </row>
    <row r="25">
      <c r="A25" t="inlineStr" s="19">
        <is>
          <t xml:space="preserve">Price per green PR</t>
        </is>
      </c>
      <c r="AA25" s="20">
        <f>10</f>
        <v>10</v>
      </c>
    </row>
    <row r="26">
      <c r="A26" t="inlineStr" s="19">
        <is>
          <t xml:space="preserve">PRs submitted per team</t>
        </is>
      </c>
      <c r="AA26" s="20">
        <f>20</f>
        <v>20</v>
      </c>
    </row>
    <row r="27">
      <c r="A27" t="inlineStr" s="19">
        <is>
          <t xml:space="preserve">Revenue</t>
        </is>
      </c>
      <c r="B27" s="20">
        <v>0</v>
      </c>
      <c r="C27" s="20">
        <f>'Model inputs'!C16*'Model inputs'!AA25</f>
        <v>600</v>
      </c>
      <c r="D27" s="20">
        <f>'Model inputs'!D16*'Model inputs'!AA25</f>
        <v>1090.9090909090908</v>
      </c>
      <c r="E27" s="20">
        <f>'Model inputs'!E16*'Model inputs'!AA25</f>
        <v>1581.8181818181815</v>
      </c>
      <c r="F27" s="20">
        <f>'Model inputs'!F16*'Model inputs'!AA25</f>
        <v>2072.727272727273</v>
      </c>
      <c r="G27" s="20">
        <f>'Model inputs'!G16*'Model inputs'!AA25</f>
        <v>2563.636363636363</v>
      </c>
      <c r="H27" s="20">
        <f>'Model inputs'!H16*'Model inputs'!AA25</f>
        <v>3054.5454545454545</v>
      </c>
      <c r="I27" s="20">
        <f>'Model inputs'!I16*'Model inputs'!AA25</f>
        <v>3545.4545454545455</v>
      </c>
      <c r="J27" s="20">
        <f>'Model inputs'!J16*'Model inputs'!AA25</f>
        <v>4036.363636363636</v>
      </c>
      <c r="K27" s="20">
        <f>'Model inputs'!K16*'Model inputs'!AA25</f>
        <v>4527.272727272727</v>
      </c>
      <c r="L27" s="20">
        <f>'Model inputs'!L16*'Model inputs'!AA25</f>
        <v>5018.181818181818</v>
      </c>
      <c r="M27" s="20">
        <f>'Model inputs'!M16*'Model inputs'!AA25</f>
        <v>5509.090909090909</v>
      </c>
      <c r="N27" s="20">
        <f>'Model inputs'!N16*'Model inputs'!AA25</f>
        <v>6000</v>
      </c>
      <c r="O27" s="20">
        <f>'Model inputs'!O16*'Model inputs'!AA25</f>
        <v>6000</v>
      </c>
      <c r="P27" s="20">
        <f>'Model inputs'!P16*'Model inputs'!AA25</f>
        <v>6000</v>
      </c>
      <c r="Q27" s="20">
        <f>'Model inputs'!Q16*'Model inputs'!AA25</f>
        <v>6000</v>
      </c>
      <c r="R27" s="20">
        <f>'Model inputs'!R16*'Model inputs'!AA25</f>
        <v>6000</v>
      </c>
      <c r="S27" s="20">
        <f>'Model inputs'!S16*'Model inputs'!AA25</f>
        <v>6000</v>
      </c>
      <c r="T27" s="20">
        <f>'Model inputs'!T16*'Model inputs'!AA25</f>
        <v>6000</v>
      </c>
      <c r="U27" s="20">
        <f>'Model inputs'!U16*'Model inputs'!AA25</f>
        <v>6000</v>
      </c>
      <c r="V27" s="20">
        <f>'Model inputs'!V16*'Model inputs'!AA25</f>
        <v>6000</v>
      </c>
      <c r="W27" s="20">
        <f>'Model inputs'!W16*'Model inputs'!AA25</f>
        <v>6000</v>
      </c>
      <c r="X27" s="20">
        <f>'Model inputs'!X16*'Model inputs'!AA25</f>
        <v>6000</v>
      </c>
      <c r="Y27" s="20">
        <f>'Model inputs'!Y16*'Model inputs'!AA25</f>
        <v>6000</v>
      </c>
      <c r="Z27" s="20">
        <f>'Model inputs'!Z16*'Model inputs'!AA25</f>
        <v>6000</v>
      </c>
    </row>
    <row r="28">
      <c r="A28" t="inlineStr" s="19">
        <is>
          <t xml:space="preserve">Software and tools</t>
        </is>
      </c>
      <c r="B28" s="20">
        <v>0</v>
      </c>
      <c r="C28" s="20">
        <f>IF('Model inputs'!AA29="","",'Model inputs'!AA29)</f>
        <v>200</v>
      </c>
      <c r="D28" s="20">
        <f>IF('Model inputs'!AA29="","",'Model inputs'!AA29)</f>
        <v>200</v>
      </c>
      <c r="E28" s="20">
        <f>IF('Model inputs'!AA29="","",'Model inputs'!AA29)</f>
        <v>200</v>
      </c>
      <c r="F28" s="20">
        <f>IF('Model inputs'!AA29="","",'Model inputs'!AA29)</f>
        <v>200</v>
      </c>
      <c r="G28" s="20">
        <f>IF('Model inputs'!AA29="","",'Model inputs'!AA29)</f>
        <v>200</v>
      </c>
      <c r="H28" s="20">
        <f>IF('Model inputs'!AA29="","",'Model inputs'!AA29)</f>
        <v>200</v>
      </c>
      <c r="I28" s="20">
        <f>IF('Model inputs'!AA29="","",'Model inputs'!AA29)</f>
        <v>200</v>
      </c>
      <c r="J28" s="20">
        <f>IF('Model inputs'!AA29="","",'Model inputs'!AA29)</f>
        <v>200</v>
      </c>
      <c r="K28" s="20">
        <f>IF('Model inputs'!AA29="","",'Model inputs'!AA29)</f>
        <v>200</v>
      </c>
      <c r="L28" s="20">
        <f>IF('Model inputs'!AA29="","",'Model inputs'!AA29)</f>
        <v>200</v>
      </c>
      <c r="M28" s="20">
        <f>IF('Model inputs'!AA29="","",'Model inputs'!AA29)</f>
        <v>200</v>
      </c>
      <c r="N28" s="20">
        <f>IF('Model inputs'!AA29="","",'Model inputs'!AA29)</f>
        <v>200</v>
      </c>
      <c r="O28" s="20">
        <f>IF('Model inputs'!AA29="","",'Model inputs'!AA29)</f>
        <v>200</v>
      </c>
      <c r="P28" s="20">
        <f>IF('Model inputs'!AA29="","",'Model inputs'!AA29)</f>
        <v>200</v>
      </c>
      <c r="Q28" s="20">
        <f>IF('Model inputs'!AA29="","",'Model inputs'!AA29)</f>
        <v>200</v>
      </c>
      <c r="R28" s="20">
        <f>IF('Model inputs'!AA29="","",'Model inputs'!AA29)</f>
        <v>200</v>
      </c>
      <c r="S28" s="20">
        <f>IF('Model inputs'!AA29="","",'Model inputs'!AA29)</f>
        <v>200</v>
      </c>
      <c r="T28" s="20">
        <f>IF('Model inputs'!AA29="","",'Model inputs'!AA29)</f>
        <v>200</v>
      </c>
      <c r="U28" s="20">
        <f>IF('Model inputs'!AA29="","",'Model inputs'!AA29)</f>
        <v>200</v>
      </c>
      <c r="V28" s="20">
        <f>IF('Model inputs'!AA29="","",'Model inputs'!AA29)</f>
        <v>200</v>
      </c>
      <c r="W28" s="20">
        <f>IF('Model inputs'!AA29="","",'Model inputs'!AA29)</f>
        <v>200</v>
      </c>
      <c r="X28" s="20">
        <f>IF('Model inputs'!AA29="","",'Model inputs'!AA29)</f>
        <v>200</v>
      </c>
      <c r="Y28" s="20">
        <f>IF('Model inputs'!AA29="","",'Model inputs'!AA29)</f>
        <v>200</v>
      </c>
      <c r="Z28" s="20">
        <f>IF('Model inputs'!AA29="","",'Model inputs'!AA29)</f>
        <v>200</v>
      </c>
    </row>
    <row r="29">
      <c r="A29" t="inlineStr" s="19">
        <is>
          <t xml:space="preserve">Software and tools per month</t>
        </is>
      </c>
      <c r="AA29" s="20">
        <f>200</f>
        <v>200</v>
      </c>
    </row>
    <row r="30">
      <c r="A30" t="inlineStr" s="19">
        <is>
          <t xml:space="preserve">Total minimum funding needed</t>
        </is>
      </c>
      <c r="B30" s="20">
        <f>0</f>
        <v>0</v>
      </c>
      <c r="C30" s="20">
        <f>MAX(0,-'Model inputs'!C8,'Model inputs'!B30)</f>
        <v>0</v>
      </c>
      <c r="D30" s="20">
        <f>MAX(0,-'Model inputs'!D8,'Model inputs'!C30)</f>
        <v>0</v>
      </c>
      <c r="E30" s="20">
        <f>MAX(0,-'Model inputs'!E8,'Model inputs'!D30)</f>
        <v>0</v>
      </c>
      <c r="F30" s="20">
        <f>MAX(0,-'Model inputs'!F8,'Model inputs'!E30)</f>
        <v>0</v>
      </c>
      <c r="G30" s="20">
        <f>MAX(0,-'Model inputs'!G8,'Model inputs'!F30)</f>
        <v>0</v>
      </c>
      <c r="H30" s="20">
        <f>MAX(0,-'Model inputs'!H8,'Model inputs'!G30)</f>
        <v>0</v>
      </c>
      <c r="I30" s="20">
        <f>MAX(0,-'Model inputs'!I8,'Model inputs'!H30)</f>
        <v>0</v>
      </c>
      <c r="J30" s="20">
        <f>MAX(0,-'Model inputs'!J8,'Model inputs'!I30)</f>
        <v>4896.363636363637</v>
      </c>
      <c r="K30" s="20">
        <f>MAX(0,-'Model inputs'!K8,'Model inputs'!J30)</f>
        <v>9995.18181818182</v>
      </c>
      <c r="L30" s="20">
        <f>MAX(0,-'Model inputs'!L8,'Model inputs'!K30)</f>
        <v>14757.727272727276</v>
      </c>
      <c r="M30" s="20">
        <f>MAX(0,-'Model inputs'!M8,'Model inputs'!L30)</f>
        <v>19184.000000000004</v>
      </c>
      <c r="N30" s="20">
        <f>MAX(0,-'Model inputs'!N8,'Model inputs'!M30)</f>
        <v>23274.000000000004</v>
      </c>
      <c r="O30" s="20">
        <f>MAX(0,-'Model inputs'!O8,'Model inputs'!N30)</f>
        <v>27364.000000000004</v>
      </c>
      <c r="P30" s="20">
        <f>MAX(0,-'Model inputs'!P8,'Model inputs'!O30)</f>
        <v>31454.000000000004</v>
      </c>
      <c r="Q30" s="20">
        <f>MAX(0,-'Model inputs'!Q8,'Model inputs'!P30)</f>
        <v>35544</v>
      </c>
      <c r="R30" s="20">
        <f>MAX(0,-'Model inputs'!R8,'Model inputs'!Q30)</f>
        <v>39634</v>
      </c>
      <c r="S30" s="20">
        <f>MAX(0,-'Model inputs'!S8,'Model inputs'!R30)</f>
        <v>43724</v>
      </c>
      <c r="T30" s="20">
        <f>MAX(0,-'Model inputs'!T8,'Model inputs'!S30)</f>
        <v>47814</v>
      </c>
      <c r="U30" s="20">
        <f>MAX(0,-'Model inputs'!U8,'Model inputs'!T30)</f>
        <v>51904</v>
      </c>
      <c r="V30" s="20">
        <f>MAX(0,-'Model inputs'!V8,'Model inputs'!U30)</f>
        <v>55994</v>
      </c>
      <c r="W30" s="20">
        <f>MAX(0,-'Model inputs'!W8,'Model inputs'!V30)</f>
        <v>60084</v>
      </c>
      <c r="X30" s="20">
        <f>MAX(0,-'Model inputs'!X8,'Model inputs'!W30)</f>
        <v>64174</v>
      </c>
      <c r="Y30" s="20">
        <f>MAX(0,-'Model inputs'!Y8,'Model inputs'!X30)</f>
        <v>68264</v>
      </c>
      <c r="Z30" s="20">
        <f>MAX(0,-'Model inputs'!Z8,'Model inputs'!Y30)</f>
        <v>72354</v>
      </c>
    </row>
    <row r="31">
      <c r="A31" t="inlineStr" s="19">
        <is>
          <t xml:space="preserve">Unpaid founder months · Kedge P&amp;L, Burn &amp; Runway</t>
        </is>
      </c>
      <c r="AA31" s="20">
        <f>6</f>
        <v>6</v>
      </c>
    </row>
    <row r="32">
      <c r="A32" t="inlineStr" s="19">
        <is>
          <t xml:space="preserve">Attempted PRs · Kedge P&amp;L, Burn &amp; Runway</t>
        </is>
      </c>
      <c r="B32" s="20">
        <v>0</v>
      </c>
      <c r="C32" s="20">
        <f>'Model inputs'!C35*'Model inputs'!AA26</f>
        <v>100</v>
      </c>
      <c r="D32" s="20">
        <f>'Model inputs'!D35*'Model inputs'!AA26</f>
        <v>181.8181818181818</v>
      </c>
      <c r="E32" s="20">
        <f>'Model inputs'!E35*'Model inputs'!AA26</f>
        <v>263.6363636363636</v>
      </c>
      <c r="F32" s="20">
        <f>'Model inputs'!F35*'Model inputs'!AA26</f>
        <v>345.4545454545455</v>
      </c>
      <c r="G32" s="20">
        <f>'Model inputs'!G35*'Model inputs'!AA26</f>
        <v>427.27272727272725</v>
      </c>
      <c r="H32" s="20">
        <f>'Model inputs'!H35*'Model inputs'!AA26</f>
        <v>509.09090909090907</v>
      </c>
      <c r="I32" s="20">
        <f>'Model inputs'!I35*'Model inputs'!AA26</f>
        <v>590.909090909091</v>
      </c>
      <c r="J32" s="20">
        <f>'Model inputs'!J35*'Model inputs'!AA26</f>
        <v>672.7272727272727</v>
      </c>
      <c r="K32" s="20">
        <f>'Model inputs'!K35*'Model inputs'!AA26</f>
        <v>754.5454545454545</v>
      </c>
      <c r="L32" s="20">
        <f>'Model inputs'!L35*'Model inputs'!AA26</f>
        <v>836.3636363636364</v>
      </c>
      <c r="M32" s="20">
        <f>'Model inputs'!M35*'Model inputs'!AA26</f>
        <v>918.1818181818181</v>
      </c>
      <c r="N32" s="20">
        <f>'Model inputs'!N35*'Model inputs'!AA26</f>
        <v>1000</v>
      </c>
      <c r="O32" s="20">
        <f>'Model inputs'!O35*'Model inputs'!AA26</f>
        <v>1000</v>
      </c>
      <c r="P32" s="20">
        <f>'Model inputs'!P35*'Model inputs'!AA26</f>
        <v>1000</v>
      </c>
      <c r="Q32" s="20">
        <f>'Model inputs'!Q35*'Model inputs'!AA26</f>
        <v>1000</v>
      </c>
      <c r="R32" s="20">
        <f>'Model inputs'!R35*'Model inputs'!AA26</f>
        <v>1000</v>
      </c>
      <c r="S32" s="20">
        <f>'Model inputs'!S35*'Model inputs'!AA26</f>
        <v>1000</v>
      </c>
      <c r="T32" s="20">
        <f>'Model inputs'!T35*'Model inputs'!AA26</f>
        <v>1000</v>
      </c>
      <c r="U32" s="20">
        <f>'Model inputs'!U35*'Model inputs'!AA26</f>
        <v>1000</v>
      </c>
      <c r="V32" s="20">
        <f>'Model inputs'!V35*'Model inputs'!AA26</f>
        <v>1000</v>
      </c>
      <c r="W32" s="20">
        <f>'Model inputs'!W35*'Model inputs'!AA26</f>
        <v>1000</v>
      </c>
      <c r="X32" s="20">
        <f>'Model inputs'!X35*'Model inputs'!AA26</f>
        <v>1000</v>
      </c>
      <c r="Y32" s="20">
        <f>'Model inputs'!Y35*'Model inputs'!AA26</f>
        <v>1000</v>
      </c>
      <c r="Z32" s="20">
        <f>'Model inputs'!Z35*'Model inputs'!AA26</f>
        <v>1000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</row>
    <row r="33">
      <c r="A33" t="inlineStr" s="19">
        <is>
          <t xml:space="preserve">Month number · Kedge P&amp;L, Burn &amp; Runway</t>
        </is>
      </c>
      <c r="B33" s="20">
        <f>IF('Model inputs'!B19="","",'Model inputs'!B19)</f>
        <v>0</v>
      </c>
      <c r="C33" s="20">
        <f>IF('Model inputs'!C19="","",'Model inputs'!C19)</f>
        <v>1</v>
      </c>
      <c r="D33" s="20">
        <f>IF('Model inputs'!D19="","",'Model inputs'!D19)</f>
        <v>2</v>
      </c>
      <c r="E33" s="20">
        <f>IF('Model inputs'!E19="","",'Model inputs'!E19)</f>
        <v>3</v>
      </c>
      <c r="F33" s="20">
        <f>IF('Model inputs'!F19="","",'Model inputs'!F19)</f>
        <v>4</v>
      </c>
      <c r="G33" s="20">
        <f>IF('Model inputs'!G19="","",'Model inputs'!G19)</f>
        <v>5</v>
      </c>
      <c r="H33" s="20">
        <f>IF('Model inputs'!H19="","",'Model inputs'!H19)</f>
        <v>6</v>
      </c>
      <c r="I33" s="20">
        <f>IF('Model inputs'!I19="","",'Model inputs'!I19)</f>
        <v>7</v>
      </c>
      <c r="J33" s="20">
        <f>IF('Model inputs'!J19="","",'Model inputs'!J19)</f>
        <v>8</v>
      </c>
      <c r="K33" s="20">
        <f>IF('Model inputs'!K19="","",'Model inputs'!K19)</f>
        <v>9</v>
      </c>
      <c r="L33" s="20">
        <f>IF('Model inputs'!L19="","",'Model inputs'!L19)</f>
        <v>10</v>
      </c>
      <c r="M33" s="20">
        <f>IF('Model inputs'!M19="","",'Model inputs'!M19)</f>
        <v>11</v>
      </c>
      <c r="N33" s="20">
        <f>IF('Model inputs'!N19="","",'Model inputs'!N19)</f>
        <v>12</v>
      </c>
      <c r="O33" s="20">
        <f>IF('Model inputs'!O19="","",'Model inputs'!O19)</f>
        <v>13</v>
      </c>
      <c r="P33" s="20">
        <f>IF('Model inputs'!P19="","",'Model inputs'!P19)</f>
        <v>14</v>
      </c>
      <c r="Q33" s="20">
        <f>IF('Model inputs'!Q19="","",'Model inputs'!Q19)</f>
        <v>15</v>
      </c>
      <c r="R33" s="20">
        <f>IF('Model inputs'!R19="","",'Model inputs'!R19)</f>
        <v>16</v>
      </c>
      <c r="S33" s="20">
        <f>IF('Model inputs'!S19="","",'Model inputs'!S19)</f>
        <v>17</v>
      </c>
      <c r="T33" s="20">
        <f>IF('Model inputs'!T19="","",'Model inputs'!T19)</f>
        <v>18</v>
      </c>
      <c r="U33" s="20">
        <f>IF('Model inputs'!U19="","",'Model inputs'!U19)</f>
        <v>19</v>
      </c>
      <c r="V33" s="20">
        <f>IF('Model inputs'!V19="","",'Model inputs'!V19)</f>
        <v>20</v>
      </c>
      <c r="W33" s="20">
        <f>IF('Model inputs'!W19="","",'Model inputs'!W19)</f>
        <v>21</v>
      </c>
      <c r="X33" s="20">
        <f>IF('Model inputs'!X19="","",'Model inputs'!X19)</f>
        <v>22</v>
      </c>
      <c r="Y33" s="20">
        <f>IF('Model inputs'!Y19="","",'Model inputs'!Y19)</f>
        <v>23</v>
      </c>
      <c r="Z33" s="20">
        <f>IF('Model inputs'!Z19="","",'Model inputs'!Z19)</f>
        <v>24</v>
      </c>
      <c r="AB33" s="20">
        <f>0</f>
        <v>0</v>
      </c>
      <c r="AC33" s="20">
        <f>0</f>
        <v>0</v>
      </c>
      <c r="AD33" s="20">
        <f>0</f>
        <v>0</v>
      </c>
      <c r="AE33" s="20">
        <f>0</f>
        <v>0</v>
      </c>
      <c r="AF33" s="20">
        <f>0</f>
        <v>0</v>
      </c>
      <c r="AG33" s="20">
        <f>0</f>
        <v>0</v>
      </c>
      <c r="AH33" s="20">
        <f>0</f>
        <v>0</v>
      </c>
      <c r="AI33" s="20">
        <f>0</f>
        <v>0</v>
      </c>
    </row>
    <row r="34">
      <c r="A34" t="inlineStr" s="19">
        <is>
          <t xml:space="preserve">Starting cash · Cash balance</t>
        </is>
      </c>
      <c r="AA34" s="20">
        <f>0</f>
        <v>0</v>
      </c>
    </row>
    <row r="35">
      <c r="A35" t="inlineStr" s="19">
        <is>
          <t xml:space="preserve">Active teams · Funding needed to date</t>
        </is>
      </c>
      <c r="B35" s="20">
        <f>0</f>
        <v>0</v>
      </c>
      <c r="C35" s="20">
        <f>IF(IF(IF(ISERROR('Model inputs'!C19&gt;='Model inputs'!AA36),'Model inputs'!C19&gt;='Model inputs'!AA36,IF(OR('Model inputs'!C19="",'Model inputs'!AA36=""),"",'Model inputs'!C19&gt;='Model inputs'!AA36))="",FALSE,IF(ISERROR('Model inputs'!C19&gt;='Model inputs'!AA36),'Model inputs'!C19&gt;='Model inputs'!AA36,IF(OR('Model inputs'!C19="",'Model inputs'!AA36=""),"",'Model inputs'!C19&gt;='Model inputs'!AA36))),IF('Model inputs'!AA37="","",'Model inputs'!AA37),'Model inputs'!AA38+('Model inputs'!AA37-'Model inputs'!AA38)*('Model inputs'!C19-1)/('Model inputs'!AA36-1))</f>
        <v>5</v>
      </c>
      <c r="D35" s="20">
        <f>IF(IF(IF(ISERROR('Model inputs'!D19&gt;='Model inputs'!AA36),'Model inputs'!D19&gt;='Model inputs'!AA36,IF(OR('Model inputs'!D19="",'Model inputs'!AA36=""),"",'Model inputs'!D19&gt;='Model inputs'!AA36))="",FALSE,IF(ISERROR('Model inputs'!D19&gt;='Model inputs'!AA36),'Model inputs'!D19&gt;='Model inputs'!AA36,IF(OR('Model inputs'!D19="",'Model inputs'!AA36=""),"",'Model inputs'!D19&gt;='Model inputs'!AA36))),IF('Model inputs'!AA37="","",'Model inputs'!AA37),'Model inputs'!AA38+('Model inputs'!AA37-'Model inputs'!AA38)*('Model inputs'!D19-1)/('Model inputs'!AA36-1))</f>
        <v>9.09090909090909</v>
      </c>
      <c r="E35" s="20">
        <f>IF(IF(IF(ISERROR('Model inputs'!E19&gt;='Model inputs'!AA36),'Model inputs'!E19&gt;='Model inputs'!AA36,IF(OR('Model inputs'!E19="",'Model inputs'!AA36=""),"",'Model inputs'!E19&gt;='Model inputs'!AA36))="",FALSE,IF(ISERROR('Model inputs'!E19&gt;='Model inputs'!AA36),'Model inputs'!E19&gt;='Model inputs'!AA36,IF(OR('Model inputs'!E19="",'Model inputs'!AA36=""),"",'Model inputs'!E19&gt;='Model inputs'!AA36))),IF('Model inputs'!AA37="","",'Model inputs'!AA37),'Model inputs'!AA38+('Model inputs'!AA37-'Model inputs'!AA38)*('Model inputs'!E19-1)/('Model inputs'!AA36-1))</f>
        <v>13.181818181818182</v>
      </c>
      <c r="F35" s="20">
        <f>IF(IF(IF(ISERROR('Model inputs'!F19&gt;='Model inputs'!AA36),'Model inputs'!F19&gt;='Model inputs'!AA36,IF(OR('Model inputs'!F19="",'Model inputs'!AA36=""),"",'Model inputs'!F19&gt;='Model inputs'!AA36))="",FALSE,IF(ISERROR('Model inputs'!F19&gt;='Model inputs'!AA36),'Model inputs'!F19&gt;='Model inputs'!AA36,IF(OR('Model inputs'!F19="",'Model inputs'!AA36=""),"",'Model inputs'!F19&gt;='Model inputs'!AA36))),IF('Model inputs'!AA37="","",'Model inputs'!AA37),'Model inputs'!AA38+('Model inputs'!AA37-'Model inputs'!AA38)*('Model inputs'!F19-1)/('Model inputs'!AA36-1))</f>
        <v>17.272727272727273</v>
      </c>
      <c r="G35" s="20">
        <f>IF(IF(IF(ISERROR('Model inputs'!G19&gt;='Model inputs'!AA36),'Model inputs'!G19&gt;='Model inputs'!AA36,IF(OR('Model inputs'!G19="",'Model inputs'!AA36=""),"",'Model inputs'!G19&gt;='Model inputs'!AA36))="",FALSE,IF(ISERROR('Model inputs'!G19&gt;='Model inputs'!AA36),'Model inputs'!G19&gt;='Model inputs'!AA36,IF(OR('Model inputs'!G19="",'Model inputs'!AA36=""),"",'Model inputs'!G19&gt;='Model inputs'!AA36))),IF('Model inputs'!AA37="","",'Model inputs'!AA37),'Model inputs'!AA38+('Model inputs'!AA37-'Model inputs'!AA38)*('Model inputs'!G19-1)/('Model inputs'!AA36-1))</f>
        <v>21.363636363636363</v>
      </c>
      <c r="H35" s="20">
        <f>IF(IF(IF(ISERROR('Model inputs'!H19&gt;='Model inputs'!AA36),'Model inputs'!H19&gt;='Model inputs'!AA36,IF(OR('Model inputs'!H19="",'Model inputs'!AA36=""),"",'Model inputs'!H19&gt;='Model inputs'!AA36))="",FALSE,IF(ISERROR('Model inputs'!H19&gt;='Model inputs'!AA36),'Model inputs'!H19&gt;='Model inputs'!AA36,IF(OR('Model inputs'!H19="",'Model inputs'!AA36=""),"",'Model inputs'!H19&gt;='Model inputs'!AA36))),IF('Model inputs'!AA37="","",'Model inputs'!AA37),'Model inputs'!AA38+('Model inputs'!AA37-'Model inputs'!AA38)*('Model inputs'!H19-1)/('Model inputs'!AA36-1))</f>
        <v>25.454545454545453</v>
      </c>
      <c r="I35" s="20">
        <f>IF(IF(IF(ISERROR('Model inputs'!I19&gt;='Model inputs'!AA36),'Model inputs'!I19&gt;='Model inputs'!AA36,IF(OR('Model inputs'!I19="",'Model inputs'!AA36=""),"",'Model inputs'!I19&gt;='Model inputs'!AA36))="",FALSE,IF(ISERROR('Model inputs'!I19&gt;='Model inputs'!AA36),'Model inputs'!I19&gt;='Model inputs'!AA36,IF(OR('Model inputs'!I19="",'Model inputs'!AA36=""),"",'Model inputs'!I19&gt;='Model inputs'!AA36))),IF('Model inputs'!AA37="","",'Model inputs'!AA37),'Model inputs'!AA38+('Model inputs'!AA37-'Model inputs'!AA38)*('Model inputs'!I19-1)/('Model inputs'!AA36-1))</f>
        <v>29.545454545454547</v>
      </c>
      <c r="J35" s="20">
        <f>IF(IF(IF(ISERROR('Model inputs'!J19&gt;='Model inputs'!AA36),'Model inputs'!J19&gt;='Model inputs'!AA36,IF(OR('Model inputs'!J19="",'Model inputs'!AA36=""),"",'Model inputs'!J19&gt;='Model inputs'!AA36))="",FALSE,IF(ISERROR('Model inputs'!J19&gt;='Model inputs'!AA36),'Model inputs'!J19&gt;='Model inputs'!AA36,IF(OR('Model inputs'!J19="",'Model inputs'!AA36=""),"",'Model inputs'!J19&gt;='Model inputs'!AA36))),IF('Model inputs'!AA37="","",'Model inputs'!AA37),'Model inputs'!AA38+('Model inputs'!AA37-'Model inputs'!AA38)*('Model inputs'!J19-1)/('Model inputs'!AA36-1))</f>
        <v>33.63636363636364</v>
      </c>
      <c r="K35" s="20">
        <f>IF(IF(IF(ISERROR('Model inputs'!K19&gt;='Model inputs'!AA36),'Model inputs'!K19&gt;='Model inputs'!AA36,IF(OR('Model inputs'!K19="",'Model inputs'!AA36=""),"",'Model inputs'!K19&gt;='Model inputs'!AA36))="",FALSE,IF(ISERROR('Model inputs'!K19&gt;='Model inputs'!AA36),'Model inputs'!K19&gt;='Model inputs'!AA36,IF(OR('Model inputs'!K19="",'Model inputs'!AA36=""),"",'Model inputs'!K19&gt;='Model inputs'!AA36))),IF('Model inputs'!AA37="","",'Model inputs'!AA37),'Model inputs'!AA38+('Model inputs'!AA37-'Model inputs'!AA38)*('Model inputs'!K19-1)/('Model inputs'!AA36-1))</f>
        <v>37.72727272727273</v>
      </c>
      <c r="L35" s="20">
        <f>IF(IF(IF(ISERROR('Model inputs'!L19&gt;='Model inputs'!AA36),'Model inputs'!L19&gt;='Model inputs'!AA36,IF(OR('Model inputs'!L19="",'Model inputs'!AA36=""),"",'Model inputs'!L19&gt;='Model inputs'!AA36))="",FALSE,IF(ISERROR('Model inputs'!L19&gt;='Model inputs'!AA36),'Model inputs'!L19&gt;='Model inputs'!AA36,IF(OR('Model inputs'!L19="",'Model inputs'!AA36=""),"",'Model inputs'!L19&gt;='Model inputs'!AA36))),IF('Model inputs'!AA37="","",'Model inputs'!AA37),'Model inputs'!AA38+('Model inputs'!AA37-'Model inputs'!AA38)*('Model inputs'!L19-1)/('Model inputs'!AA36-1))</f>
        <v>41.81818181818182</v>
      </c>
      <c r="M35" s="20">
        <f>IF(IF(IF(ISERROR('Model inputs'!M19&gt;='Model inputs'!AA36),'Model inputs'!M19&gt;='Model inputs'!AA36,IF(OR('Model inputs'!M19="",'Model inputs'!AA36=""),"",'Model inputs'!M19&gt;='Model inputs'!AA36))="",FALSE,IF(ISERROR('Model inputs'!M19&gt;='Model inputs'!AA36),'Model inputs'!M19&gt;='Model inputs'!AA36,IF(OR('Model inputs'!M19="",'Model inputs'!AA36=""),"",'Model inputs'!M19&gt;='Model inputs'!AA36))),IF('Model inputs'!AA37="","",'Model inputs'!AA37),'Model inputs'!AA38+('Model inputs'!AA37-'Model inputs'!AA38)*('Model inputs'!M19-1)/('Model inputs'!AA36-1))</f>
        <v>45.90909090909091</v>
      </c>
      <c r="N35" s="20">
        <f>IF(IF(IF(ISERROR('Model inputs'!N19&gt;='Model inputs'!AA36),'Model inputs'!N19&gt;='Model inputs'!AA36,IF(OR('Model inputs'!N19="",'Model inputs'!AA36=""),"",'Model inputs'!N19&gt;='Model inputs'!AA36))="",FALSE,IF(ISERROR('Model inputs'!N19&gt;='Model inputs'!AA36),'Model inputs'!N19&gt;='Model inputs'!AA36,IF(OR('Model inputs'!N19="",'Model inputs'!AA36=""),"",'Model inputs'!N19&gt;='Model inputs'!AA36))),IF('Model inputs'!AA37="","",'Model inputs'!AA37),'Model inputs'!AA38+('Model inputs'!AA37-'Model inputs'!AA38)*('Model inputs'!N19-1)/('Model inputs'!AA36-1))</f>
        <v>50</v>
      </c>
      <c r="O35" s="20">
        <f>IF(IF(IF(ISERROR('Model inputs'!O19&gt;='Model inputs'!AA36),'Model inputs'!O19&gt;='Model inputs'!AA36,IF(OR('Model inputs'!O19="",'Model inputs'!AA36=""),"",'Model inputs'!O19&gt;='Model inputs'!AA36))="",FALSE,IF(ISERROR('Model inputs'!O19&gt;='Model inputs'!AA36),'Model inputs'!O19&gt;='Model inputs'!AA36,IF(OR('Model inputs'!O19="",'Model inputs'!AA36=""),"",'Model inputs'!O19&gt;='Model inputs'!AA36))),IF('Model inputs'!AA37="","",'Model inputs'!AA37),'Model inputs'!AA38+('Model inputs'!AA37-'Model inputs'!AA38)*('Model inputs'!O19-1)/('Model inputs'!AA36-1))</f>
        <v>50</v>
      </c>
      <c r="P35" s="20">
        <f>IF(IF(IF(ISERROR('Model inputs'!P19&gt;='Model inputs'!AA36),'Model inputs'!P19&gt;='Model inputs'!AA36,IF(OR('Model inputs'!P19="",'Model inputs'!AA36=""),"",'Model inputs'!P19&gt;='Model inputs'!AA36))="",FALSE,IF(ISERROR('Model inputs'!P19&gt;='Model inputs'!AA36),'Model inputs'!P19&gt;='Model inputs'!AA36,IF(OR('Model inputs'!P19="",'Model inputs'!AA36=""),"",'Model inputs'!P19&gt;='Model inputs'!AA36))),IF('Model inputs'!AA37="","",'Model inputs'!AA37),'Model inputs'!AA38+('Model inputs'!AA37-'Model inputs'!AA38)*('Model inputs'!P19-1)/('Model inputs'!AA36-1))</f>
        <v>50</v>
      </c>
      <c r="Q35" s="20">
        <f>IF(IF(IF(ISERROR('Model inputs'!Q19&gt;='Model inputs'!AA36),'Model inputs'!Q19&gt;='Model inputs'!AA36,IF(OR('Model inputs'!Q19="",'Model inputs'!AA36=""),"",'Model inputs'!Q19&gt;='Model inputs'!AA36))="",FALSE,IF(ISERROR('Model inputs'!Q19&gt;='Model inputs'!AA36),'Model inputs'!Q19&gt;='Model inputs'!AA36,IF(OR('Model inputs'!Q19="",'Model inputs'!AA36=""),"",'Model inputs'!Q19&gt;='Model inputs'!AA36))),IF('Model inputs'!AA37="","",'Model inputs'!AA37),'Model inputs'!AA38+('Model inputs'!AA37-'Model inputs'!AA38)*('Model inputs'!Q19-1)/('Model inputs'!AA36-1))</f>
        <v>50</v>
      </c>
      <c r="R35" s="20">
        <f>IF(IF(IF(ISERROR('Model inputs'!R19&gt;='Model inputs'!AA36),'Model inputs'!R19&gt;='Model inputs'!AA36,IF(OR('Model inputs'!R19="",'Model inputs'!AA36=""),"",'Model inputs'!R19&gt;='Model inputs'!AA36))="",FALSE,IF(ISERROR('Model inputs'!R19&gt;='Model inputs'!AA36),'Model inputs'!R19&gt;='Model inputs'!AA36,IF(OR('Model inputs'!R19="",'Model inputs'!AA36=""),"",'Model inputs'!R19&gt;='Model inputs'!AA36))),IF('Model inputs'!AA37="","",'Model inputs'!AA37),'Model inputs'!AA38+('Model inputs'!AA37-'Model inputs'!AA38)*('Model inputs'!R19-1)/('Model inputs'!AA36-1))</f>
        <v>50</v>
      </c>
      <c r="S35" s="20">
        <f>IF(IF(IF(ISERROR('Model inputs'!S19&gt;='Model inputs'!AA36),'Model inputs'!S19&gt;='Model inputs'!AA36,IF(OR('Model inputs'!S19="",'Model inputs'!AA36=""),"",'Model inputs'!S19&gt;='Model inputs'!AA36))="",FALSE,IF(ISERROR('Model inputs'!S19&gt;='Model inputs'!AA36),'Model inputs'!S19&gt;='Model inputs'!AA36,IF(OR('Model inputs'!S19="",'Model inputs'!AA36=""),"",'Model inputs'!S19&gt;='Model inputs'!AA36))),IF('Model inputs'!AA37="","",'Model inputs'!AA37),'Model inputs'!AA38+('Model inputs'!AA37-'Model inputs'!AA38)*('Model inputs'!S19-1)/('Model inputs'!AA36-1))</f>
        <v>50</v>
      </c>
      <c r="T35" s="20">
        <f>IF(IF(IF(ISERROR('Model inputs'!T19&gt;='Model inputs'!AA36),'Model inputs'!T19&gt;='Model inputs'!AA36,IF(OR('Model inputs'!T19="",'Model inputs'!AA36=""),"",'Model inputs'!T19&gt;='Model inputs'!AA36))="",FALSE,IF(ISERROR('Model inputs'!T19&gt;='Model inputs'!AA36),'Model inputs'!T19&gt;='Model inputs'!AA36,IF(OR('Model inputs'!T19="",'Model inputs'!AA36=""),"",'Model inputs'!T19&gt;='Model inputs'!AA36))),IF('Model inputs'!AA37="","",'Model inputs'!AA37),'Model inputs'!AA38+('Model inputs'!AA37-'Model inputs'!AA38)*('Model inputs'!T19-1)/('Model inputs'!AA36-1))</f>
        <v>50</v>
      </c>
      <c r="U35" s="20">
        <f>IF(IF(IF(ISERROR('Model inputs'!U19&gt;='Model inputs'!AA36),'Model inputs'!U19&gt;='Model inputs'!AA36,IF(OR('Model inputs'!U19="",'Model inputs'!AA36=""),"",'Model inputs'!U19&gt;='Model inputs'!AA36))="",FALSE,IF(ISERROR('Model inputs'!U19&gt;='Model inputs'!AA36),'Model inputs'!U19&gt;='Model inputs'!AA36,IF(OR('Model inputs'!U19="",'Model inputs'!AA36=""),"",'Model inputs'!U19&gt;='Model inputs'!AA36))),IF('Model inputs'!AA37="","",'Model inputs'!AA37),'Model inputs'!AA38+('Model inputs'!AA37-'Model inputs'!AA38)*('Model inputs'!U19-1)/('Model inputs'!AA36-1))</f>
        <v>50</v>
      </c>
      <c r="V35" s="20">
        <f>IF(IF(IF(ISERROR('Model inputs'!V19&gt;='Model inputs'!AA36),'Model inputs'!V19&gt;='Model inputs'!AA36,IF(OR('Model inputs'!V19="",'Model inputs'!AA36=""),"",'Model inputs'!V19&gt;='Model inputs'!AA36))="",FALSE,IF(ISERROR('Model inputs'!V19&gt;='Model inputs'!AA36),'Model inputs'!V19&gt;='Model inputs'!AA36,IF(OR('Model inputs'!V19="",'Model inputs'!AA36=""),"",'Model inputs'!V19&gt;='Model inputs'!AA36))),IF('Model inputs'!AA37="","",'Model inputs'!AA37),'Model inputs'!AA38+('Model inputs'!AA37-'Model inputs'!AA38)*('Model inputs'!V19-1)/('Model inputs'!AA36-1))</f>
        <v>50</v>
      </c>
      <c r="W35" s="20">
        <f>IF(IF(IF(ISERROR('Model inputs'!W19&gt;='Model inputs'!AA36),'Model inputs'!W19&gt;='Model inputs'!AA36,IF(OR('Model inputs'!W19="",'Model inputs'!AA36=""),"",'Model inputs'!W19&gt;='Model inputs'!AA36))="",FALSE,IF(ISERROR('Model inputs'!W19&gt;='Model inputs'!AA36),'Model inputs'!W19&gt;='Model inputs'!AA36,IF(OR('Model inputs'!W19="",'Model inputs'!AA36=""),"",'Model inputs'!W19&gt;='Model inputs'!AA36))),IF('Model inputs'!AA37="","",'Model inputs'!AA37),'Model inputs'!AA38+('Model inputs'!AA37-'Model inputs'!AA38)*('Model inputs'!W19-1)/('Model inputs'!AA36-1))</f>
        <v>50</v>
      </c>
      <c r="X35" s="20">
        <f>IF(IF(IF(ISERROR('Model inputs'!X19&gt;='Model inputs'!AA36),'Model inputs'!X19&gt;='Model inputs'!AA36,IF(OR('Model inputs'!X19="",'Model inputs'!AA36=""),"",'Model inputs'!X19&gt;='Model inputs'!AA36))="",FALSE,IF(ISERROR('Model inputs'!X19&gt;='Model inputs'!AA36),'Model inputs'!X19&gt;='Model inputs'!AA36,IF(OR('Model inputs'!X19="",'Model inputs'!AA36=""),"",'Model inputs'!X19&gt;='Model inputs'!AA36))),IF('Model inputs'!AA37="","",'Model inputs'!AA37),'Model inputs'!AA38+('Model inputs'!AA37-'Model inputs'!AA38)*('Model inputs'!X19-1)/('Model inputs'!AA36-1))</f>
        <v>50</v>
      </c>
      <c r="Y35" s="20">
        <f>IF(IF(IF(ISERROR('Model inputs'!Y19&gt;='Model inputs'!AA36),'Model inputs'!Y19&gt;='Model inputs'!AA36,IF(OR('Model inputs'!Y19="",'Model inputs'!AA36=""),"",'Model inputs'!Y19&gt;='Model inputs'!AA36))="",FALSE,IF(ISERROR('Model inputs'!Y19&gt;='Model inputs'!AA36),'Model inputs'!Y19&gt;='Model inputs'!AA36,IF(OR('Model inputs'!Y19="",'Model inputs'!AA36=""),"",'Model inputs'!Y19&gt;='Model inputs'!AA36))),IF('Model inputs'!AA37="","",'Model inputs'!AA37),'Model inputs'!AA38+('Model inputs'!AA37-'Model inputs'!AA38)*('Model inputs'!Y19-1)/('Model inputs'!AA36-1))</f>
        <v>50</v>
      </c>
      <c r="Z35" s="20">
        <f>IF(IF(IF(ISERROR('Model inputs'!Z19&gt;='Model inputs'!AA36),'Model inputs'!Z19&gt;='Model inputs'!AA36,IF(OR('Model inputs'!Z19="",'Model inputs'!AA36=""),"",'Model inputs'!Z19&gt;='Model inputs'!AA36))="",FALSE,IF(ISERROR('Model inputs'!Z19&gt;='Model inputs'!AA36),'Model inputs'!Z19&gt;='Model inputs'!AA36,IF(OR('Model inputs'!Z19="",'Model inputs'!AA36=""),"",'Model inputs'!Z19&gt;='Model inputs'!AA36))),IF('Model inputs'!AA37="","",'Model inputs'!AA37),'Model inputs'!AA38+('Model inputs'!AA37-'Model inputs'!AA38)*('Model inputs'!Z19-1)/('Model inputs'!AA36-1))</f>
        <v>50</v>
      </c>
      <c r="AB35" s="20">
        <f>0</f>
        <v>0</v>
      </c>
      <c r="AC35" s="20">
        <f>0</f>
        <v>0</v>
      </c>
      <c r="AD35" s="20">
        <f>0</f>
        <v>0</v>
      </c>
      <c r="AE35" s="20">
        <f>0</f>
        <v>0</v>
      </c>
      <c r="AF35" s="20">
        <f>0</f>
        <v>0</v>
      </c>
      <c r="AG35" s="20">
        <f>0</f>
        <v>0</v>
      </c>
      <c r="AH35" s="20">
        <f>0</f>
        <v>0</v>
      </c>
      <c r="AI35" s="20">
        <f>0</f>
        <v>0</v>
      </c>
    </row>
    <row r="36">
      <c r="A36" t="inlineStr" s="19">
        <is>
          <t xml:space="preserve">Months to full ramp · Active teams · Funding needed to date</t>
        </is>
      </c>
      <c r="AA36" s="20">
        <f>12</f>
        <v>12</v>
      </c>
    </row>
    <row r="37">
      <c r="A37" t="inlineStr" s="19">
        <is>
          <t xml:space="preserve">Teams at full ramp · Active teams · Funding needed to date</t>
        </is>
      </c>
      <c r="AA37" s="20">
        <f>50</f>
        <v>50</v>
      </c>
    </row>
    <row r="38">
      <c r="A38" t="inlineStr" s="19">
        <is>
          <t xml:space="preserve">Teams at launch · Active teams · Funding needed to date</t>
        </is>
      </c>
      <c r="AA38" s="20">
        <f>5</f>
        <v>5</v>
      </c>
    </row>
  </sheetData>
  <mergeCells count="2">
    <mergeCell ref="A1:AI1"/>
    <mergeCell ref="A2:AI2"/>
  </mergeCells>
</worksheet>
</file>